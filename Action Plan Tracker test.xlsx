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niklasquendt/Downloads/"/>
    </mc:Choice>
  </mc:AlternateContent>
  <xr:revisionPtr revIDLastSave="0" documentId="8_{EDC01807-BACF-344F-BC06-2F743D0A9CFE}" xr6:coauthVersionLast="47" xr6:coauthVersionMax="47" xr10:uidLastSave="{00000000-0000-0000-0000-000000000000}"/>
  <bookViews>
    <workbookView xWindow="0" yWindow="660" windowWidth="29400" windowHeight="18460" tabRatio="741" activeTab="4" xr2:uid="{76F78A6D-6A5F-4AFE-85B0-C1FB2EE5DDDA}"/>
  </bookViews>
  <sheets>
    <sheet name="Focal Point Tracking" sheetId="3" r:id="rId1"/>
    <sheet name="UN80 Action Plan (2)" sheetId="5" state="hidden" r:id="rId2"/>
    <sheet name="UN80 Action Plan" sheetId="4" state="hidden" r:id="rId3"/>
    <sheet name="Sheet2" sheetId="20" r:id="rId4"/>
    <sheet name="Action Tracking" sheetId="6" r:id="rId5"/>
    <sheet name="Sheet1" sheetId="19" r:id="rId6"/>
    <sheet name="SC TF Extended" sheetId="8" r:id="rId7"/>
    <sheet name="Working sheet &gt;&gt;&gt;" sheetId="14" r:id="rId8"/>
    <sheet name="Overview Filter" sheetId="18" r:id="rId9"/>
    <sheet name="query (9)" sheetId="1" state="hidden" r:id="rId10"/>
  </sheets>
  <definedNames>
    <definedName name="ExternalData_1" localSheetId="4" hidden="1">'Action Tracking'!$A$5:$R$96</definedName>
    <definedName name="ExternalData_2" localSheetId="2" hidden="1">'UN80 Action Plan'!$A$1:$N$93</definedName>
    <definedName name="ExternalData_3" localSheetId="1" hidden="1">'UN80 Action Plan (2)'!$A$1:$AA$92</definedName>
    <definedName name="_xlnm.Print_Titles" localSheetId="5">Sheet1!$1:$4</definedName>
    <definedName name="query__9" localSheetId="9" hidden="1">'query (9)'!$A$1:$P$92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9" i="6" l="1"/>
  <c r="Q76" i="6"/>
  <c r="Q13" i="6"/>
  <c r="Q7" i="6"/>
  <c r="W7" i="6" s="1"/>
  <c r="Q6" i="6"/>
  <c r="W6" i="6" s="1"/>
  <c r="L5" i="19" s="1"/>
  <c r="W92" i="6"/>
  <c r="N17" i="19"/>
  <c r="N18" i="19"/>
  <c r="N19" i="19"/>
  <c r="N20" i="19"/>
  <c r="N21" i="19"/>
  <c r="N22" i="19"/>
  <c r="A11" i="19"/>
  <c r="B11" i="19"/>
  <c r="C11" i="19"/>
  <c r="D11" i="19"/>
  <c r="E11" i="19"/>
  <c r="F11" i="19"/>
  <c r="G11" i="19"/>
  <c r="H11" i="19"/>
  <c r="I11" i="19"/>
  <c r="J11" i="19"/>
  <c r="K11" i="19"/>
  <c r="M11" i="19"/>
  <c r="N11" i="19"/>
  <c r="A12" i="19"/>
  <c r="B12" i="19"/>
  <c r="C12" i="19"/>
  <c r="D12" i="19"/>
  <c r="E12" i="19"/>
  <c r="F12" i="19"/>
  <c r="G12" i="19"/>
  <c r="H12" i="19"/>
  <c r="I12" i="19"/>
  <c r="J12" i="19"/>
  <c r="K12" i="19"/>
  <c r="M12" i="19"/>
  <c r="N12" i="19"/>
  <c r="A13" i="19"/>
  <c r="B13" i="19"/>
  <c r="C13" i="19"/>
  <c r="D13" i="19"/>
  <c r="E13" i="19"/>
  <c r="F13" i="19"/>
  <c r="G13" i="19"/>
  <c r="H13" i="19"/>
  <c r="I13" i="19"/>
  <c r="J13" i="19"/>
  <c r="K13" i="19"/>
  <c r="M13" i="19"/>
  <c r="N13" i="19"/>
  <c r="A14" i="19"/>
  <c r="B14" i="19"/>
  <c r="C14" i="19"/>
  <c r="D14" i="19"/>
  <c r="E14" i="19"/>
  <c r="F14" i="19"/>
  <c r="G14" i="19"/>
  <c r="H14" i="19"/>
  <c r="I14" i="19"/>
  <c r="J14" i="19"/>
  <c r="K14" i="19"/>
  <c r="M14" i="19"/>
  <c r="N14" i="19"/>
  <c r="A15" i="19"/>
  <c r="B15" i="19"/>
  <c r="C15" i="19"/>
  <c r="D15" i="19"/>
  <c r="E15" i="19"/>
  <c r="F15" i="19"/>
  <c r="G15" i="19"/>
  <c r="H15" i="19"/>
  <c r="I15" i="19"/>
  <c r="J15" i="19"/>
  <c r="K15" i="19"/>
  <c r="M15" i="19"/>
  <c r="N15" i="19"/>
  <c r="A16" i="19"/>
  <c r="B16" i="19"/>
  <c r="C16" i="19"/>
  <c r="D16" i="19"/>
  <c r="E16" i="19"/>
  <c r="F16" i="19"/>
  <c r="G16" i="19"/>
  <c r="H16" i="19"/>
  <c r="I16" i="19"/>
  <c r="J16" i="19"/>
  <c r="K16" i="19"/>
  <c r="M16" i="19"/>
  <c r="N16" i="19"/>
  <c r="A17" i="19"/>
  <c r="B17" i="19"/>
  <c r="C17" i="19"/>
  <c r="D17" i="19"/>
  <c r="E17" i="19"/>
  <c r="F17" i="19"/>
  <c r="G17" i="19"/>
  <c r="H17" i="19"/>
  <c r="I17" i="19"/>
  <c r="J17" i="19"/>
  <c r="K17" i="19"/>
  <c r="M17" i="19"/>
  <c r="A18" i="19"/>
  <c r="B18" i="19"/>
  <c r="C18" i="19"/>
  <c r="D18" i="19"/>
  <c r="E18" i="19"/>
  <c r="F18" i="19"/>
  <c r="G18" i="19"/>
  <c r="H18" i="19"/>
  <c r="I18" i="19"/>
  <c r="J18" i="19"/>
  <c r="K18" i="19"/>
  <c r="M18" i="19"/>
  <c r="A19" i="19"/>
  <c r="B19" i="19"/>
  <c r="C19" i="19"/>
  <c r="D19" i="19"/>
  <c r="E19" i="19"/>
  <c r="F19" i="19"/>
  <c r="G19" i="19"/>
  <c r="H19" i="19"/>
  <c r="I19" i="19"/>
  <c r="J19" i="19"/>
  <c r="K19" i="19"/>
  <c r="L19" i="19"/>
  <c r="M19" i="19"/>
  <c r="A20" i="19"/>
  <c r="B20" i="19"/>
  <c r="C20" i="19"/>
  <c r="D20" i="19"/>
  <c r="E20" i="19"/>
  <c r="F20" i="19"/>
  <c r="G20" i="19"/>
  <c r="H20" i="19"/>
  <c r="I20" i="19"/>
  <c r="J20" i="19"/>
  <c r="K20" i="19"/>
  <c r="M20" i="19"/>
  <c r="A21" i="19"/>
  <c r="B21" i="19"/>
  <c r="C21" i="19"/>
  <c r="D21" i="19"/>
  <c r="E21" i="19"/>
  <c r="F21" i="19"/>
  <c r="G21" i="19"/>
  <c r="H21" i="19"/>
  <c r="I21" i="19"/>
  <c r="J21" i="19"/>
  <c r="K21" i="19"/>
  <c r="M21" i="19"/>
  <c r="A22" i="19"/>
  <c r="B22" i="19"/>
  <c r="C22" i="19"/>
  <c r="D22" i="19"/>
  <c r="E22" i="19"/>
  <c r="F22" i="19"/>
  <c r="G22" i="19"/>
  <c r="H22" i="19"/>
  <c r="I22" i="19"/>
  <c r="J22" i="19"/>
  <c r="K22" i="19"/>
  <c r="M22" i="19"/>
  <c r="A23" i="19"/>
  <c r="B23" i="19"/>
  <c r="C23" i="19"/>
  <c r="D23" i="19"/>
  <c r="E23" i="19"/>
  <c r="F23" i="19"/>
  <c r="G23" i="19"/>
  <c r="H23" i="19"/>
  <c r="I23" i="19"/>
  <c r="J23" i="19"/>
  <c r="K23" i="19"/>
  <c r="M23" i="19"/>
  <c r="N23" i="19"/>
  <c r="A24" i="19"/>
  <c r="B24" i="19"/>
  <c r="C24" i="19"/>
  <c r="D24" i="19"/>
  <c r="E24" i="19"/>
  <c r="F24" i="19"/>
  <c r="G24" i="19"/>
  <c r="H24" i="19"/>
  <c r="I24" i="19"/>
  <c r="J24" i="19"/>
  <c r="K24" i="19"/>
  <c r="M24" i="19"/>
  <c r="N24" i="19"/>
  <c r="A25" i="19"/>
  <c r="B25" i="19"/>
  <c r="C25" i="19"/>
  <c r="D25" i="19"/>
  <c r="E25" i="19"/>
  <c r="F25" i="19"/>
  <c r="G25" i="19"/>
  <c r="H25" i="19"/>
  <c r="I25" i="19"/>
  <c r="J25" i="19"/>
  <c r="K25" i="19"/>
  <c r="M25" i="19"/>
  <c r="N25" i="19"/>
  <c r="A26" i="19"/>
  <c r="B26" i="19"/>
  <c r="C26" i="19"/>
  <c r="D26" i="19"/>
  <c r="E26" i="19"/>
  <c r="F26" i="19"/>
  <c r="G26" i="19"/>
  <c r="H26" i="19"/>
  <c r="I26" i="19"/>
  <c r="J26" i="19"/>
  <c r="K26" i="19"/>
  <c r="M26" i="19"/>
  <c r="N26" i="19"/>
  <c r="A27" i="19"/>
  <c r="B27" i="19"/>
  <c r="C27" i="19"/>
  <c r="D27" i="19"/>
  <c r="E27" i="19"/>
  <c r="F27" i="19"/>
  <c r="G27" i="19"/>
  <c r="H27" i="19"/>
  <c r="I27" i="19"/>
  <c r="J27" i="19"/>
  <c r="K27" i="19"/>
  <c r="M27" i="19"/>
  <c r="N27" i="19"/>
  <c r="A28" i="19"/>
  <c r="B28" i="19"/>
  <c r="C28" i="19"/>
  <c r="D28" i="19"/>
  <c r="E28" i="19"/>
  <c r="F28" i="19"/>
  <c r="G28" i="19"/>
  <c r="H28" i="19"/>
  <c r="I28" i="19"/>
  <c r="J28" i="19"/>
  <c r="K28" i="19"/>
  <c r="M28" i="19"/>
  <c r="N28" i="19"/>
  <c r="A29" i="19"/>
  <c r="B29" i="19"/>
  <c r="C29" i="19"/>
  <c r="D29" i="19"/>
  <c r="E29" i="19"/>
  <c r="F29" i="19"/>
  <c r="G29" i="19"/>
  <c r="H29" i="19"/>
  <c r="I29" i="19"/>
  <c r="J29" i="19"/>
  <c r="K29" i="19"/>
  <c r="M29" i="19"/>
  <c r="N29" i="19"/>
  <c r="A30" i="19"/>
  <c r="B30" i="19"/>
  <c r="C30" i="19"/>
  <c r="D30" i="19"/>
  <c r="E30" i="19"/>
  <c r="F30" i="19"/>
  <c r="G30" i="19"/>
  <c r="H30" i="19"/>
  <c r="I30" i="19"/>
  <c r="J30" i="19"/>
  <c r="K30" i="19"/>
  <c r="L30" i="19"/>
  <c r="M30" i="19"/>
  <c r="N30" i="19"/>
  <c r="A31" i="19"/>
  <c r="B31" i="19"/>
  <c r="C31" i="19"/>
  <c r="D31" i="19"/>
  <c r="E31" i="19"/>
  <c r="F31" i="19"/>
  <c r="G31" i="19"/>
  <c r="H31" i="19"/>
  <c r="I31" i="19"/>
  <c r="J31" i="19"/>
  <c r="K31" i="19"/>
  <c r="M31" i="19"/>
  <c r="N31" i="19"/>
  <c r="A32" i="19"/>
  <c r="B32" i="19"/>
  <c r="C32" i="19"/>
  <c r="D32" i="19"/>
  <c r="E32" i="19"/>
  <c r="F32" i="19"/>
  <c r="G32" i="19"/>
  <c r="H32" i="19"/>
  <c r="I32" i="19"/>
  <c r="J32" i="19"/>
  <c r="K32" i="19"/>
  <c r="M32" i="19"/>
  <c r="N32" i="19"/>
  <c r="A33" i="19"/>
  <c r="B33" i="19"/>
  <c r="C33" i="19"/>
  <c r="D33" i="19"/>
  <c r="E33" i="19"/>
  <c r="F33" i="19"/>
  <c r="G33" i="19"/>
  <c r="H33" i="19"/>
  <c r="I33" i="19"/>
  <c r="J33" i="19"/>
  <c r="K33" i="19"/>
  <c r="M33" i="19"/>
  <c r="N33" i="19"/>
  <c r="A34" i="19"/>
  <c r="B34" i="19"/>
  <c r="C34" i="19"/>
  <c r="D34" i="19"/>
  <c r="E34" i="19"/>
  <c r="F34" i="19"/>
  <c r="G34" i="19"/>
  <c r="H34" i="19"/>
  <c r="I34" i="19"/>
  <c r="J34" i="19"/>
  <c r="K34" i="19"/>
  <c r="M34" i="19"/>
  <c r="N34" i="19"/>
  <c r="A35" i="19"/>
  <c r="B35" i="19"/>
  <c r="C35" i="19"/>
  <c r="D35" i="19"/>
  <c r="E35" i="19"/>
  <c r="F35" i="19"/>
  <c r="G35" i="19"/>
  <c r="H35" i="19"/>
  <c r="I35" i="19"/>
  <c r="J35" i="19"/>
  <c r="K35" i="19"/>
  <c r="M35" i="19"/>
  <c r="N35" i="19"/>
  <c r="A36" i="19"/>
  <c r="B36" i="19"/>
  <c r="C36" i="19"/>
  <c r="D36" i="19"/>
  <c r="E36" i="19"/>
  <c r="F36" i="19"/>
  <c r="G36" i="19"/>
  <c r="H36" i="19"/>
  <c r="I36" i="19"/>
  <c r="J36" i="19"/>
  <c r="K36" i="19"/>
  <c r="M36" i="19"/>
  <c r="N36" i="19"/>
  <c r="A37" i="19"/>
  <c r="B37" i="19"/>
  <c r="C37" i="19"/>
  <c r="D37" i="19"/>
  <c r="E37" i="19"/>
  <c r="F37" i="19"/>
  <c r="G37" i="19"/>
  <c r="H37" i="19"/>
  <c r="I37" i="19"/>
  <c r="J37" i="19"/>
  <c r="K37" i="19"/>
  <c r="M37" i="19"/>
  <c r="N37" i="19"/>
  <c r="A38" i="19"/>
  <c r="B38" i="19"/>
  <c r="C38" i="19"/>
  <c r="D38" i="19"/>
  <c r="E38" i="19"/>
  <c r="F38" i="19"/>
  <c r="G38" i="19"/>
  <c r="H38" i="19"/>
  <c r="I38" i="19"/>
  <c r="J38" i="19"/>
  <c r="K38" i="19"/>
  <c r="M38" i="19"/>
  <c r="N38" i="19"/>
  <c r="A39" i="19"/>
  <c r="B39" i="19"/>
  <c r="C39" i="19"/>
  <c r="D39" i="19"/>
  <c r="E39" i="19"/>
  <c r="F39" i="19"/>
  <c r="G39" i="19"/>
  <c r="H39" i="19"/>
  <c r="I39" i="19"/>
  <c r="J39" i="19"/>
  <c r="K39" i="19"/>
  <c r="M39" i="19"/>
  <c r="N39" i="19"/>
  <c r="A40" i="19"/>
  <c r="B40" i="19"/>
  <c r="C40" i="19"/>
  <c r="D40" i="19"/>
  <c r="E40" i="19"/>
  <c r="F40" i="19"/>
  <c r="G40" i="19"/>
  <c r="H40" i="19"/>
  <c r="I40" i="19"/>
  <c r="J40" i="19"/>
  <c r="K40" i="19"/>
  <c r="L40" i="19"/>
  <c r="M40" i="19"/>
  <c r="N40" i="19"/>
  <c r="A41" i="19"/>
  <c r="B41" i="19"/>
  <c r="C41" i="19"/>
  <c r="D41" i="19"/>
  <c r="E41" i="19"/>
  <c r="F41" i="19"/>
  <c r="G41" i="19"/>
  <c r="H41" i="19"/>
  <c r="I41" i="19"/>
  <c r="J41" i="19"/>
  <c r="K41" i="19"/>
  <c r="M41" i="19"/>
  <c r="N41" i="19"/>
  <c r="A42" i="19"/>
  <c r="B42" i="19"/>
  <c r="C42" i="19"/>
  <c r="D42" i="19"/>
  <c r="E42" i="19"/>
  <c r="F42" i="19"/>
  <c r="G42" i="19"/>
  <c r="H42" i="19"/>
  <c r="I42" i="19"/>
  <c r="J42" i="19"/>
  <c r="K42" i="19"/>
  <c r="M42" i="19"/>
  <c r="N42" i="19"/>
  <c r="A43" i="19"/>
  <c r="B43" i="19"/>
  <c r="C43" i="19"/>
  <c r="D43" i="19"/>
  <c r="E43" i="19"/>
  <c r="F43" i="19"/>
  <c r="G43" i="19"/>
  <c r="H43" i="19"/>
  <c r="I43" i="19"/>
  <c r="J43" i="19"/>
  <c r="K43" i="19"/>
  <c r="M43" i="19"/>
  <c r="N43" i="19"/>
  <c r="A44" i="19"/>
  <c r="B44" i="19"/>
  <c r="C44" i="19"/>
  <c r="D44" i="19"/>
  <c r="E44" i="19"/>
  <c r="F44" i="19"/>
  <c r="G44" i="19"/>
  <c r="H44" i="19"/>
  <c r="I44" i="19"/>
  <c r="J44" i="19"/>
  <c r="K44" i="19"/>
  <c r="M44" i="19"/>
  <c r="N44" i="19"/>
  <c r="A45" i="19"/>
  <c r="B45" i="19"/>
  <c r="C45" i="19"/>
  <c r="D45" i="19"/>
  <c r="E45" i="19"/>
  <c r="F45" i="19"/>
  <c r="G45" i="19"/>
  <c r="H45" i="19"/>
  <c r="I45" i="19"/>
  <c r="J45" i="19"/>
  <c r="K45" i="19"/>
  <c r="M45" i="19"/>
  <c r="N45" i="19"/>
  <c r="A46" i="19"/>
  <c r="B46" i="19"/>
  <c r="C46" i="19"/>
  <c r="D46" i="19"/>
  <c r="E46" i="19"/>
  <c r="F46" i="19"/>
  <c r="G46" i="19"/>
  <c r="H46" i="19"/>
  <c r="I46" i="19"/>
  <c r="J46" i="19"/>
  <c r="K46" i="19"/>
  <c r="L46" i="19"/>
  <c r="M46" i="19"/>
  <c r="N46" i="19"/>
  <c r="A47" i="19"/>
  <c r="B47" i="19"/>
  <c r="C47" i="19"/>
  <c r="D47" i="19"/>
  <c r="E47" i="19"/>
  <c r="F47" i="19"/>
  <c r="G47" i="19"/>
  <c r="H47" i="19"/>
  <c r="I47" i="19"/>
  <c r="J47" i="19"/>
  <c r="K47" i="19"/>
  <c r="L47" i="19"/>
  <c r="M47" i="19"/>
  <c r="N47" i="19"/>
  <c r="A48" i="19"/>
  <c r="B48" i="19"/>
  <c r="C48" i="19"/>
  <c r="D48" i="19"/>
  <c r="E48" i="19"/>
  <c r="F48" i="19"/>
  <c r="G48" i="19"/>
  <c r="H48" i="19"/>
  <c r="I48" i="19"/>
  <c r="J48" i="19"/>
  <c r="K48" i="19"/>
  <c r="L48" i="19"/>
  <c r="M48" i="19"/>
  <c r="N48" i="19"/>
  <c r="A49" i="19"/>
  <c r="B49" i="19"/>
  <c r="C49" i="19"/>
  <c r="D49" i="19"/>
  <c r="E49" i="19"/>
  <c r="F49" i="19"/>
  <c r="G49" i="19"/>
  <c r="H49" i="19"/>
  <c r="I49" i="19"/>
  <c r="J49" i="19"/>
  <c r="K49" i="19"/>
  <c r="M49" i="19"/>
  <c r="N49" i="19"/>
  <c r="A50" i="19"/>
  <c r="B50" i="19"/>
  <c r="C50" i="19"/>
  <c r="D50" i="19"/>
  <c r="E50" i="19"/>
  <c r="F50" i="19"/>
  <c r="G50" i="19"/>
  <c r="H50" i="19"/>
  <c r="I50" i="19"/>
  <c r="J50" i="19"/>
  <c r="K50" i="19"/>
  <c r="M50" i="19"/>
  <c r="N50" i="19"/>
  <c r="A51" i="19"/>
  <c r="B51" i="19"/>
  <c r="C51" i="19"/>
  <c r="D51" i="19"/>
  <c r="E51" i="19"/>
  <c r="F51" i="19"/>
  <c r="G51" i="19"/>
  <c r="H51" i="19"/>
  <c r="I51" i="19"/>
  <c r="J51" i="19"/>
  <c r="K51" i="19"/>
  <c r="M51" i="19"/>
  <c r="N51" i="19"/>
  <c r="A52" i="19"/>
  <c r="B52" i="19"/>
  <c r="C52" i="19"/>
  <c r="D52" i="19"/>
  <c r="E52" i="19"/>
  <c r="F52" i="19"/>
  <c r="G52" i="19"/>
  <c r="H52" i="19"/>
  <c r="I52" i="19"/>
  <c r="J52" i="19"/>
  <c r="K52" i="19"/>
  <c r="M52" i="19"/>
  <c r="N52" i="19"/>
  <c r="A53" i="19"/>
  <c r="B53" i="19"/>
  <c r="C53" i="19"/>
  <c r="D53" i="19"/>
  <c r="E53" i="19"/>
  <c r="F53" i="19"/>
  <c r="G53" i="19"/>
  <c r="H53" i="19"/>
  <c r="I53" i="19"/>
  <c r="J53" i="19"/>
  <c r="K53" i="19"/>
  <c r="L53" i="19"/>
  <c r="M53" i="19"/>
  <c r="N53" i="19"/>
  <c r="A54" i="19"/>
  <c r="B54" i="19"/>
  <c r="C54" i="19"/>
  <c r="D54" i="19"/>
  <c r="E54" i="19"/>
  <c r="F54" i="19"/>
  <c r="G54" i="19"/>
  <c r="H54" i="19"/>
  <c r="I54" i="19"/>
  <c r="J54" i="19"/>
  <c r="K54" i="19"/>
  <c r="M54" i="19"/>
  <c r="N54" i="19"/>
  <c r="A55" i="19"/>
  <c r="B55" i="19"/>
  <c r="C55" i="19"/>
  <c r="D55" i="19"/>
  <c r="E55" i="19"/>
  <c r="F55" i="19"/>
  <c r="G55" i="19"/>
  <c r="H55" i="19"/>
  <c r="I55" i="19"/>
  <c r="J55" i="19"/>
  <c r="K55" i="19"/>
  <c r="M55" i="19"/>
  <c r="N55" i="19"/>
  <c r="A56" i="19"/>
  <c r="B56" i="19"/>
  <c r="C56" i="19"/>
  <c r="D56" i="19"/>
  <c r="E56" i="19"/>
  <c r="F56" i="19"/>
  <c r="G56" i="19"/>
  <c r="H56" i="19"/>
  <c r="I56" i="19"/>
  <c r="J56" i="19"/>
  <c r="K56" i="19"/>
  <c r="L56" i="19"/>
  <c r="M56" i="19"/>
  <c r="N56" i="19"/>
  <c r="A57" i="19"/>
  <c r="B57" i="19"/>
  <c r="C57" i="19"/>
  <c r="D57" i="19"/>
  <c r="E57" i="19"/>
  <c r="F57" i="19"/>
  <c r="G57" i="19"/>
  <c r="H57" i="19"/>
  <c r="I57" i="19"/>
  <c r="J57" i="19"/>
  <c r="K57" i="19"/>
  <c r="M57" i="19"/>
  <c r="N57" i="19"/>
  <c r="A58" i="19"/>
  <c r="B58" i="19"/>
  <c r="C58" i="19"/>
  <c r="D58" i="19"/>
  <c r="E58" i="19"/>
  <c r="F58" i="19"/>
  <c r="G58" i="19"/>
  <c r="H58" i="19"/>
  <c r="I58" i="19"/>
  <c r="J58" i="19"/>
  <c r="K58" i="19"/>
  <c r="M58" i="19"/>
  <c r="N58" i="19"/>
  <c r="A59" i="19"/>
  <c r="B59" i="19"/>
  <c r="C59" i="19"/>
  <c r="D59" i="19"/>
  <c r="E59" i="19"/>
  <c r="F59" i="19"/>
  <c r="G59" i="19"/>
  <c r="H59" i="19"/>
  <c r="I59" i="19"/>
  <c r="J59" i="19"/>
  <c r="K59" i="19"/>
  <c r="M59" i="19"/>
  <c r="N59" i="19"/>
  <c r="A60" i="19"/>
  <c r="B60" i="19"/>
  <c r="C60" i="19"/>
  <c r="D60" i="19"/>
  <c r="E60" i="19"/>
  <c r="F60" i="19"/>
  <c r="G60" i="19"/>
  <c r="H60" i="19"/>
  <c r="I60" i="19"/>
  <c r="J60" i="19"/>
  <c r="K60" i="19"/>
  <c r="L60" i="19"/>
  <c r="M60" i="19"/>
  <c r="N60" i="19"/>
  <c r="A61" i="19"/>
  <c r="B61" i="19"/>
  <c r="C61" i="19"/>
  <c r="D61" i="19"/>
  <c r="E61" i="19"/>
  <c r="F61" i="19"/>
  <c r="G61" i="19"/>
  <c r="H61" i="19"/>
  <c r="I61" i="19"/>
  <c r="J61" i="19"/>
  <c r="K61" i="19"/>
  <c r="L61" i="19"/>
  <c r="M61" i="19"/>
  <c r="N61" i="19"/>
  <c r="A62" i="19"/>
  <c r="B62" i="19"/>
  <c r="C62" i="19"/>
  <c r="D62" i="19"/>
  <c r="E62" i="19"/>
  <c r="F62" i="19"/>
  <c r="G62" i="19"/>
  <c r="H62" i="19"/>
  <c r="I62" i="19"/>
  <c r="J62" i="19"/>
  <c r="K62" i="19"/>
  <c r="L62" i="19"/>
  <c r="M62" i="19"/>
  <c r="N62" i="19"/>
  <c r="A63" i="19"/>
  <c r="B63" i="19"/>
  <c r="C63" i="19"/>
  <c r="D63" i="19"/>
  <c r="E63" i="19"/>
  <c r="F63" i="19"/>
  <c r="G63" i="19"/>
  <c r="H63" i="19"/>
  <c r="I63" i="19"/>
  <c r="J63" i="19"/>
  <c r="K63" i="19"/>
  <c r="L63" i="19"/>
  <c r="M63" i="19"/>
  <c r="N63" i="19"/>
  <c r="A64" i="19"/>
  <c r="B64" i="19"/>
  <c r="C64" i="19"/>
  <c r="D64" i="19"/>
  <c r="E64" i="19"/>
  <c r="F64" i="19"/>
  <c r="G64" i="19"/>
  <c r="H64" i="19"/>
  <c r="I64" i="19"/>
  <c r="J64" i="19"/>
  <c r="K64" i="19"/>
  <c r="L64" i="19"/>
  <c r="M64" i="19"/>
  <c r="N64" i="19"/>
  <c r="A65" i="19"/>
  <c r="B65" i="19"/>
  <c r="C65" i="19"/>
  <c r="D65" i="19"/>
  <c r="E65" i="19"/>
  <c r="F65" i="19"/>
  <c r="G65" i="19"/>
  <c r="H65" i="19"/>
  <c r="I65" i="19"/>
  <c r="J65" i="19"/>
  <c r="K65" i="19"/>
  <c r="L65" i="19"/>
  <c r="M65" i="19"/>
  <c r="N65" i="19"/>
  <c r="A66" i="19"/>
  <c r="B66" i="19"/>
  <c r="C66" i="19"/>
  <c r="D66" i="19"/>
  <c r="E66" i="19"/>
  <c r="F66" i="19"/>
  <c r="G66" i="19"/>
  <c r="H66" i="19"/>
  <c r="I66" i="19"/>
  <c r="J66" i="19"/>
  <c r="K66" i="19"/>
  <c r="M66" i="19"/>
  <c r="N66" i="19"/>
  <c r="A67" i="19"/>
  <c r="B67" i="19"/>
  <c r="C67" i="19"/>
  <c r="D67" i="19"/>
  <c r="E67" i="19"/>
  <c r="F67" i="19"/>
  <c r="G67" i="19"/>
  <c r="H67" i="19"/>
  <c r="I67" i="19"/>
  <c r="J67" i="19"/>
  <c r="K67" i="19"/>
  <c r="M67" i="19"/>
  <c r="N67" i="19"/>
  <c r="A68" i="19"/>
  <c r="B68" i="19"/>
  <c r="C68" i="19"/>
  <c r="D68" i="19"/>
  <c r="E68" i="19"/>
  <c r="F68" i="19"/>
  <c r="G68" i="19"/>
  <c r="H68" i="19"/>
  <c r="I68" i="19"/>
  <c r="J68" i="19"/>
  <c r="K68" i="19"/>
  <c r="M68" i="19"/>
  <c r="N68" i="19"/>
  <c r="A69" i="19"/>
  <c r="B69" i="19"/>
  <c r="C69" i="19"/>
  <c r="D69" i="19"/>
  <c r="E69" i="19"/>
  <c r="F69" i="19"/>
  <c r="G69" i="19"/>
  <c r="H69" i="19"/>
  <c r="I69" i="19"/>
  <c r="J69" i="19"/>
  <c r="K69" i="19"/>
  <c r="L69" i="19"/>
  <c r="M69" i="19"/>
  <c r="N69" i="19"/>
  <c r="A70" i="19"/>
  <c r="B70" i="19"/>
  <c r="C70" i="19"/>
  <c r="D70" i="19"/>
  <c r="E70" i="19"/>
  <c r="F70" i="19"/>
  <c r="G70" i="19"/>
  <c r="H70" i="19"/>
  <c r="I70" i="19"/>
  <c r="J70" i="19"/>
  <c r="K70" i="19"/>
  <c r="L70" i="19"/>
  <c r="M70" i="19"/>
  <c r="N70" i="19"/>
  <c r="A71" i="19"/>
  <c r="B71" i="19"/>
  <c r="C71" i="19"/>
  <c r="D71" i="19"/>
  <c r="E71" i="19"/>
  <c r="F71" i="19"/>
  <c r="G71" i="19"/>
  <c r="H71" i="19"/>
  <c r="I71" i="19"/>
  <c r="J71" i="19"/>
  <c r="K71" i="19"/>
  <c r="L71" i="19"/>
  <c r="M71" i="19"/>
  <c r="N71" i="19"/>
  <c r="A72" i="19"/>
  <c r="B72" i="19"/>
  <c r="C72" i="19"/>
  <c r="D72" i="19"/>
  <c r="E72" i="19"/>
  <c r="F72" i="19"/>
  <c r="G72" i="19"/>
  <c r="H72" i="19"/>
  <c r="I72" i="19"/>
  <c r="J72" i="19"/>
  <c r="K72" i="19"/>
  <c r="M72" i="19"/>
  <c r="N72" i="19"/>
  <c r="A73" i="19"/>
  <c r="B73" i="19"/>
  <c r="C73" i="19"/>
  <c r="D73" i="19"/>
  <c r="E73" i="19"/>
  <c r="F73" i="19"/>
  <c r="G73" i="19"/>
  <c r="H73" i="19"/>
  <c r="I73" i="19"/>
  <c r="J73" i="19"/>
  <c r="K73" i="19"/>
  <c r="L73" i="19"/>
  <c r="M73" i="19"/>
  <c r="N73" i="19"/>
  <c r="A74" i="19"/>
  <c r="B74" i="19"/>
  <c r="C74" i="19"/>
  <c r="D74" i="19"/>
  <c r="E74" i="19"/>
  <c r="F74" i="19"/>
  <c r="G74" i="19"/>
  <c r="H74" i="19"/>
  <c r="I74" i="19"/>
  <c r="J74" i="19"/>
  <c r="K74" i="19"/>
  <c r="L74" i="19"/>
  <c r="M74" i="19"/>
  <c r="N74" i="19"/>
  <c r="A75" i="19"/>
  <c r="B75" i="19"/>
  <c r="C75" i="19"/>
  <c r="D75" i="19"/>
  <c r="E75" i="19"/>
  <c r="F75" i="19"/>
  <c r="G75" i="19"/>
  <c r="H75" i="19"/>
  <c r="I75" i="19"/>
  <c r="J75" i="19"/>
  <c r="K75" i="19"/>
  <c r="M75" i="19"/>
  <c r="N75" i="19"/>
  <c r="A76" i="19"/>
  <c r="B76" i="19"/>
  <c r="C76" i="19"/>
  <c r="D76" i="19"/>
  <c r="E76" i="19"/>
  <c r="F76" i="19"/>
  <c r="G76" i="19"/>
  <c r="H76" i="19"/>
  <c r="I76" i="19"/>
  <c r="J76" i="19"/>
  <c r="K76" i="19"/>
  <c r="M76" i="19"/>
  <c r="N76" i="19"/>
  <c r="A77" i="19"/>
  <c r="B77" i="19"/>
  <c r="C77" i="19"/>
  <c r="D77" i="19"/>
  <c r="E77" i="19"/>
  <c r="F77" i="19"/>
  <c r="G77" i="19"/>
  <c r="H77" i="19"/>
  <c r="I77" i="19"/>
  <c r="J77" i="19"/>
  <c r="K77" i="19"/>
  <c r="M77" i="19"/>
  <c r="N77" i="19"/>
  <c r="A78" i="19"/>
  <c r="B78" i="19"/>
  <c r="C78" i="19"/>
  <c r="D78" i="19"/>
  <c r="E78" i="19"/>
  <c r="F78" i="19"/>
  <c r="G78" i="19"/>
  <c r="H78" i="19"/>
  <c r="I78" i="19"/>
  <c r="J78" i="19"/>
  <c r="K78" i="19"/>
  <c r="L78" i="19"/>
  <c r="M78" i="19"/>
  <c r="N78" i="19"/>
  <c r="A79" i="19"/>
  <c r="B79" i="19"/>
  <c r="C79" i="19"/>
  <c r="D79" i="19"/>
  <c r="E79" i="19"/>
  <c r="F79" i="19"/>
  <c r="G79" i="19"/>
  <c r="H79" i="19"/>
  <c r="I79" i="19"/>
  <c r="J79" i="19"/>
  <c r="K79" i="19"/>
  <c r="L79" i="19"/>
  <c r="M79" i="19"/>
  <c r="N79" i="19"/>
  <c r="A80" i="19"/>
  <c r="B80" i="19"/>
  <c r="C80" i="19"/>
  <c r="D80" i="19"/>
  <c r="E80" i="19"/>
  <c r="F80" i="19"/>
  <c r="G80" i="19"/>
  <c r="H80" i="19"/>
  <c r="I80" i="19"/>
  <c r="J80" i="19"/>
  <c r="K80" i="19"/>
  <c r="M80" i="19"/>
  <c r="N80" i="19"/>
  <c r="A81" i="19"/>
  <c r="B81" i="19"/>
  <c r="C81" i="19"/>
  <c r="D81" i="19"/>
  <c r="E81" i="19"/>
  <c r="F81" i="19"/>
  <c r="G81" i="19"/>
  <c r="H81" i="19"/>
  <c r="I81" i="19"/>
  <c r="J81" i="19"/>
  <c r="K81" i="19"/>
  <c r="L81" i="19"/>
  <c r="M81" i="19"/>
  <c r="N81" i="19"/>
  <c r="A82" i="19"/>
  <c r="B82" i="19"/>
  <c r="C82" i="19"/>
  <c r="D82" i="19"/>
  <c r="E82" i="19"/>
  <c r="F82" i="19"/>
  <c r="G82" i="19"/>
  <c r="H82" i="19"/>
  <c r="I82" i="19"/>
  <c r="J82" i="19"/>
  <c r="K82" i="19"/>
  <c r="L82" i="19"/>
  <c r="M82" i="19"/>
  <c r="N82" i="19"/>
  <c r="A83" i="19"/>
  <c r="B83" i="19"/>
  <c r="C83" i="19"/>
  <c r="D83" i="19"/>
  <c r="E83" i="19"/>
  <c r="F83" i="19"/>
  <c r="G83" i="19"/>
  <c r="H83" i="19"/>
  <c r="I83" i="19"/>
  <c r="J83" i="19"/>
  <c r="K83" i="19"/>
  <c r="M83" i="19"/>
  <c r="N83" i="19"/>
  <c r="A84" i="19"/>
  <c r="B84" i="19"/>
  <c r="C84" i="19"/>
  <c r="D84" i="19"/>
  <c r="E84" i="19"/>
  <c r="F84" i="19"/>
  <c r="G84" i="19"/>
  <c r="H84" i="19"/>
  <c r="I84" i="19"/>
  <c r="J84" i="19"/>
  <c r="K84" i="19"/>
  <c r="M84" i="19"/>
  <c r="N84" i="19"/>
  <c r="A85" i="19"/>
  <c r="B85" i="19"/>
  <c r="C85" i="19"/>
  <c r="D85" i="19"/>
  <c r="E85" i="19"/>
  <c r="F85" i="19"/>
  <c r="G85" i="19"/>
  <c r="H85" i="19"/>
  <c r="I85" i="19"/>
  <c r="J85" i="19"/>
  <c r="K85" i="19"/>
  <c r="M85" i="19"/>
  <c r="N85" i="19"/>
  <c r="A86" i="19"/>
  <c r="B86" i="19"/>
  <c r="C86" i="19"/>
  <c r="D86" i="19"/>
  <c r="E86" i="19"/>
  <c r="F86" i="19"/>
  <c r="G86" i="19"/>
  <c r="H86" i="19"/>
  <c r="I86" i="19"/>
  <c r="J86" i="19"/>
  <c r="K86" i="19"/>
  <c r="L86" i="19"/>
  <c r="M86" i="19"/>
  <c r="N86" i="19"/>
  <c r="A87" i="19"/>
  <c r="B87" i="19"/>
  <c r="C87" i="19"/>
  <c r="D87" i="19"/>
  <c r="E87" i="19"/>
  <c r="F87" i="19"/>
  <c r="G87" i="19"/>
  <c r="H87" i="19"/>
  <c r="I87" i="19"/>
  <c r="J87" i="19"/>
  <c r="K87" i="19"/>
  <c r="M87" i="19"/>
  <c r="N87" i="19"/>
  <c r="A88" i="19"/>
  <c r="B88" i="19"/>
  <c r="C88" i="19"/>
  <c r="D88" i="19"/>
  <c r="E88" i="19"/>
  <c r="F88" i="19"/>
  <c r="G88" i="19"/>
  <c r="H88" i="19"/>
  <c r="I88" i="19"/>
  <c r="J88" i="19"/>
  <c r="K88" i="19"/>
  <c r="M88" i="19"/>
  <c r="N88" i="19"/>
  <c r="A89" i="19"/>
  <c r="B89" i="19"/>
  <c r="C89" i="19"/>
  <c r="D89" i="19"/>
  <c r="E89" i="19"/>
  <c r="F89" i="19"/>
  <c r="G89" i="19"/>
  <c r="H89" i="19"/>
  <c r="I89" i="19"/>
  <c r="J89" i="19"/>
  <c r="K89" i="19"/>
  <c r="M89" i="19"/>
  <c r="N89" i="19"/>
  <c r="A90" i="19"/>
  <c r="B90" i="19"/>
  <c r="C90" i="19"/>
  <c r="D90" i="19"/>
  <c r="E90" i="19"/>
  <c r="F90" i="19"/>
  <c r="G90" i="19"/>
  <c r="H90" i="19"/>
  <c r="I90" i="19"/>
  <c r="J90" i="19"/>
  <c r="K90" i="19"/>
  <c r="M90" i="19"/>
  <c r="N90" i="19"/>
  <c r="A91" i="19"/>
  <c r="B91" i="19"/>
  <c r="C91" i="19"/>
  <c r="D91" i="19"/>
  <c r="E91" i="19"/>
  <c r="F91" i="19"/>
  <c r="G91" i="19"/>
  <c r="H91" i="19"/>
  <c r="I91" i="19"/>
  <c r="J91" i="19"/>
  <c r="K91" i="19"/>
  <c r="M91" i="19"/>
  <c r="N91" i="19"/>
  <c r="A92" i="19"/>
  <c r="B92" i="19"/>
  <c r="C92" i="19"/>
  <c r="D92" i="19"/>
  <c r="E92" i="19"/>
  <c r="F92" i="19"/>
  <c r="G92" i="19"/>
  <c r="H92" i="19"/>
  <c r="I92" i="19"/>
  <c r="J92" i="19"/>
  <c r="K92" i="19"/>
  <c r="L92" i="19"/>
  <c r="M92" i="19"/>
  <c r="N92" i="19"/>
  <c r="A93" i="19"/>
  <c r="B93" i="19"/>
  <c r="C93" i="19"/>
  <c r="D93" i="19"/>
  <c r="E93" i="19"/>
  <c r="F93" i="19"/>
  <c r="G93" i="19"/>
  <c r="H93" i="19"/>
  <c r="I93" i="19"/>
  <c r="J93" i="19"/>
  <c r="K93" i="19"/>
  <c r="M93" i="19"/>
  <c r="N93" i="19"/>
  <c r="A94" i="19"/>
  <c r="B94" i="19"/>
  <c r="C94" i="19"/>
  <c r="D94" i="19"/>
  <c r="E94" i="19"/>
  <c r="F94" i="19"/>
  <c r="G94" i="19"/>
  <c r="H94" i="19"/>
  <c r="I94" i="19"/>
  <c r="J94" i="19"/>
  <c r="K94" i="19"/>
  <c r="L94" i="19"/>
  <c r="M94" i="19"/>
  <c r="N94" i="19"/>
  <c r="A95" i="19"/>
  <c r="B95" i="19"/>
  <c r="C95" i="19"/>
  <c r="D95" i="19"/>
  <c r="E95" i="19"/>
  <c r="F95" i="19"/>
  <c r="G95" i="19"/>
  <c r="H95" i="19"/>
  <c r="I95" i="19"/>
  <c r="J95" i="19"/>
  <c r="K95" i="19"/>
  <c r="L95" i="19"/>
  <c r="M95" i="19"/>
  <c r="N95" i="19"/>
  <c r="F5" i="19"/>
  <c r="F6" i="19"/>
  <c r="F7" i="19"/>
  <c r="F8" i="19"/>
  <c r="F9" i="19"/>
  <c r="F10" i="19"/>
  <c r="N5" i="19"/>
  <c r="N6" i="19"/>
  <c r="N7" i="19"/>
  <c r="N8" i="19"/>
  <c r="N9" i="19"/>
  <c r="N10" i="19"/>
  <c r="K5" i="19"/>
  <c r="M5" i="19"/>
  <c r="K6" i="19"/>
  <c r="M6" i="19"/>
  <c r="K7" i="19"/>
  <c r="M7" i="19"/>
  <c r="K8" i="19"/>
  <c r="M8" i="19"/>
  <c r="K9" i="19"/>
  <c r="M9" i="19"/>
  <c r="K10" i="19"/>
  <c r="M10" i="19"/>
  <c r="B5" i="19"/>
  <c r="C5" i="19"/>
  <c r="D5" i="19"/>
  <c r="E5" i="19"/>
  <c r="G5" i="19"/>
  <c r="H5" i="19"/>
  <c r="I5" i="19"/>
  <c r="J5" i="19"/>
  <c r="B6" i="19"/>
  <c r="C6" i="19"/>
  <c r="D6" i="19"/>
  <c r="E6" i="19"/>
  <c r="G6" i="19"/>
  <c r="H6" i="19"/>
  <c r="I6" i="19"/>
  <c r="J6" i="19"/>
  <c r="B7" i="19"/>
  <c r="C7" i="19"/>
  <c r="D7" i="19"/>
  <c r="E7" i="19"/>
  <c r="G7" i="19"/>
  <c r="H7" i="19"/>
  <c r="I7" i="19"/>
  <c r="J7" i="19"/>
  <c r="B8" i="19"/>
  <c r="C8" i="19"/>
  <c r="D8" i="19"/>
  <c r="E8" i="19"/>
  <c r="G8" i="19"/>
  <c r="H8" i="19"/>
  <c r="I8" i="19"/>
  <c r="J8" i="19"/>
  <c r="B9" i="19"/>
  <c r="C9" i="19"/>
  <c r="D9" i="19"/>
  <c r="E9" i="19"/>
  <c r="G9" i="19"/>
  <c r="H9" i="19"/>
  <c r="I9" i="19"/>
  <c r="J9" i="19"/>
  <c r="B10" i="19"/>
  <c r="C10" i="19"/>
  <c r="D10" i="19"/>
  <c r="E10" i="19"/>
  <c r="G10" i="19"/>
  <c r="H10" i="19"/>
  <c r="I10" i="19"/>
  <c r="J10" i="19"/>
  <c r="A5" i="19"/>
  <c r="A6" i="19"/>
  <c r="A7" i="19"/>
  <c r="A8" i="19"/>
  <c r="A9" i="19"/>
  <c r="A10" i="19"/>
  <c r="M3" i="6"/>
  <c r="W55" i="6"/>
  <c r="AD55" i="6" s="1"/>
  <c r="A6" i="18" a="1"/>
  <c r="U9" i="18" s="1"/>
  <c r="W86" i="6"/>
  <c r="AD86" i="6" s="1"/>
  <c r="AD20" i="6"/>
  <c r="AD31" i="6"/>
  <c r="AD41" i="6"/>
  <c r="AD57" i="6"/>
  <c r="AD61" i="6"/>
  <c r="AD62" i="6"/>
  <c r="AD63" i="6"/>
  <c r="AD64" i="6"/>
  <c r="AD65" i="6"/>
  <c r="AD66" i="6"/>
  <c r="AD70" i="6"/>
  <c r="AD71" i="6"/>
  <c r="AD72" i="6"/>
  <c r="AD74" i="6"/>
  <c r="AD75" i="6"/>
  <c r="AD79" i="6"/>
  <c r="AD80" i="6"/>
  <c r="AD82" i="6"/>
  <c r="AD83" i="6"/>
  <c r="AD87" i="6"/>
  <c r="AD93" i="6"/>
  <c r="AD95" i="6"/>
  <c r="AD96" i="6"/>
  <c r="W85" i="6"/>
  <c r="AD85" i="6" s="1"/>
  <c r="W84" i="6"/>
  <c r="AD84" i="6" s="1"/>
  <c r="E5" i="18"/>
  <c r="AE3" i="18" a="1"/>
  <c r="AE3" i="18" s="1"/>
  <c r="AC3" i="18" a="1"/>
  <c r="AC3" i="18" s="1"/>
  <c r="AD3" i="18" a="1"/>
  <c r="AD3" i="18" s="1"/>
  <c r="AB3" i="18" a="1"/>
  <c r="AB3" i="18" s="1"/>
  <c r="AA3" i="18" a="1"/>
  <c r="AA3" i="18" s="1"/>
  <c r="W73" i="6"/>
  <c r="AD73" i="6" s="1"/>
  <c r="W88" i="6"/>
  <c r="AD88" i="6" s="1"/>
  <c r="W50" i="6"/>
  <c r="AD50" i="6" s="1"/>
  <c r="AD48" i="6"/>
  <c r="W45" i="6"/>
  <c r="AD45" i="6" s="1"/>
  <c r="AU6" i="6"/>
  <c r="AU7" i="6"/>
  <c r="AU8" i="6"/>
  <c r="AU9" i="6"/>
  <c r="AU10" i="6"/>
  <c r="AU11" i="6"/>
  <c r="AU12" i="6"/>
  <c r="AU13" i="6"/>
  <c r="AU14" i="6"/>
  <c r="AU15" i="6"/>
  <c r="AU16" i="6"/>
  <c r="AU17" i="6"/>
  <c r="AU18" i="6"/>
  <c r="AU19" i="6"/>
  <c r="AU20" i="6"/>
  <c r="AU21" i="6"/>
  <c r="AU22" i="6"/>
  <c r="AU23" i="6"/>
  <c r="AU24" i="6"/>
  <c r="AU25" i="6"/>
  <c r="AU26" i="6"/>
  <c r="AU27" i="6"/>
  <c r="AU28" i="6"/>
  <c r="AU29" i="6"/>
  <c r="AU30" i="6"/>
  <c r="AU31" i="6"/>
  <c r="AU32" i="6"/>
  <c r="AU33" i="6"/>
  <c r="AU34" i="6"/>
  <c r="AU35" i="6"/>
  <c r="AU36" i="6"/>
  <c r="AU37" i="6"/>
  <c r="AU38" i="6"/>
  <c r="AU39" i="6"/>
  <c r="AU40" i="6"/>
  <c r="AU41" i="6"/>
  <c r="AU42" i="6"/>
  <c r="AU43" i="6"/>
  <c r="AU44" i="6"/>
  <c r="AU45" i="6"/>
  <c r="AU46" i="6"/>
  <c r="AU47" i="6"/>
  <c r="AU48" i="6"/>
  <c r="AU49" i="6"/>
  <c r="AU50" i="6"/>
  <c r="AU51" i="6"/>
  <c r="AU52" i="6"/>
  <c r="AU53" i="6"/>
  <c r="AU54" i="6"/>
  <c r="AU55" i="6"/>
  <c r="AU56" i="6"/>
  <c r="AU57" i="6"/>
  <c r="AU58" i="6"/>
  <c r="AU59" i="6"/>
  <c r="AU60" i="6"/>
  <c r="AU61" i="6"/>
  <c r="AU62" i="6"/>
  <c r="AU63" i="6"/>
  <c r="AU64" i="6"/>
  <c r="AU65" i="6"/>
  <c r="AU66" i="6"/>
  <c r="AU67" i="6"/>
  <c r="AU68" i="6"/>
  <c r="AU69" i="6"/>
  <c r="AU70" i="6"/>
  <c r="AU71" i="6"/>
  <c r="AU72" i="6"/>
  <c r="AU73" i="6"/>
  <c r="AU74" i="6"/>
  <c r="AU75" i="6"/>
  <c r="AU76" i="6"/>
  <c r="AU77" i="6"/>
  <c r="AU78" i="6"/>
  <c r="AU79" i="6"/>
  <c r="AU80" i="6"/>
  <c r="AU81" i="6"/>
  <c r="AU82" i="6"/>
  <c r="AU83" i="6"/>
  <c r="AU84" i="6"/>
  <c r="AU85" i="6"/>
  <c r="AU86" i="6"/>
  <c r="AU87" i="6"/>
  <c r="AU88" i="6"/>
  <c r="AU89" i="6"/>
  <c r="AU90" i="6"/>
  <c r="AU91" i="6"/>
  <c r="AU92" i="6"/>
  <c r="AU93" i="6"/>
  <c r="AU94" i="6"/>
  <c r="AU95" i="6"/>
  <c r="AU96" i="6"/>
  <c r="AO6" i="6"/>
  <c r="AO7" i="6"/>
  <c r="AO8" i="6"/>
  <c r="AO10" i="6"/>
  <c r="AO11" i="6"/>
  <c r="AO12" i="6"/>
  <c r="AO13" i="6"/>
  <c r="AO14" i="6"/>
  <c r="AO15" i="6"/>
  <c r="AO16" i="6"/>
  <c r="AO17" i="6"/>
  <c r="AO18" i="6"/>
  <c r="AO19" i="6"/>
  <c r="AO20" i="6"/>
  <c r="AO21" i="6"/>
  <c r="AO22" i="6"/>
  <c r="AO23" i="6"/>
  <c r="AO24" i="6"/>
  <c r="AO25" i="6"/>
  <c r="AO26" i="6"/>
  <c r="AO27" i="6"/>
  <c r="AO28" i="6"/>
  <c r="AO29" i="6"/>
  <c r="AO30" i="6"/>
  <c r="AO31" i="6"/>
  <c r="AO32" i="6"/>
  <c r="AO33" i="6"/>
  <c r="AO34" i="6"/>
  <c r="AO35" i="6"/>
  <c r="AO36" i="6"/>
  <c r="AO37" i="6"/>
  <c r="AO38" i="6"/>
  <c r="AO39" i="6"/>
  <c r="AO40" i="6"/>
  <c r="AO41" i="6"/>
  <c r="AO42" i="6"/>
  <c r="AO43" i="6"/>
  <c r="AO44" i="6"/>
  <c r="AO45" i="6"/>
  <c r="AO46" i="6"/>
  <c r="AO47" i="6"/>
  <c r="AO48" i="6"/>
  <c r="AO49" i="6"/>
  <c r="AO50" i="6"/>
  <c r="AO51" i="6"/>
  <c r="AO52" i="6"/>
  <c r="AO53" i="6"/>
  <c r="AO54" i="6"/>
  <c r="AO55" i="6"/>
  <c r="AO56" i="6"/>
  <c r="AO57" i="6"/>
  <c r="AO58" i="6"/>
  <c r="AO59" i="6"/>
  <c r="AO60" i="6"/>
  <c r="AO61" i="6"/>
  <c r="AO62" i="6"/>
  <c r="AO63" i="6"/>
  <c r="AO64" i="6"/>
  <c r="AO65" i="6"/>
  <c r="AO66" i="6"/>
  <c r="AO67" i="6"/>
  <c r="AO68" i="6"/>
  <c r="AO69" i="6"/>
  <c r="AO70" i="6"/>
  <c r="AO71" i="6"/>
  <c r="AO72" i="6"/>
  <c r="AO73" i="6"/>
  <c r="AO74" i="6"/>
  <c r="AO75" i="6"/>
  <c r="AO76" i="6"/>
  <c r="AO77" i="6"/>
  <c r="AO78" i="6"/>
  <c r="AO79" i="6"/>
  <c r="AO80" i="6"/>
  <c r="AO81" i="6"/>
  <c r="AO82" i="6"/>
  <c r="AO83" i="6"/>
  <c r="AO84" i="6"/>
  <c r="AO85" i="6"/>
  <c r="AO86" i="6"/>
  <c r="AO87" i="6"/>
  <c r="AO88" i="6"/>
  <c r="AO89" i="6"/>
  <c r="AO90" i="6"/>
  <c r="AO91" i="6"/>
  <c r="AO92" i="6"/>
  <c r="AO93" i="6"/>
  <c r="AO94" i="6"/>
  <c r="AO95" i="6"/>
  <c r="AO96" i="6"/>
  <c r="W39" i="6"/>
  <c r="L38" i="19" s="1"/>
  <c r="W38" i="6"/>
  <c r="L37" i="19" s="1"/>
  <c r="W37" i="6"/>
  <c r="L36" i="19" s="1"/>
  <c r="W15" i="6"/>
  <c r="L14" i="19" s="1"/>
  <c r="AD15" i="6"/>
  <c r="W8" i="6"/>
  <c r="L7" i="19" s="1"/>
  <c r="B5" i="18"/>
  <c r="C5" i="18"/>
  <c r="D5" i="18"/>
  <c r="F5" i="18"/>
  <c r="G5" i="18"/>
  <c r="H5" i="18"/>
  <c r="I5" i="18"/>
  <c r="J5" i="18"/>
  <c r="K5" i="18"/>
  <c r="L5" i="18"/>
  <c r="M5" i="18"/>
  <c r="N5" i="18"/>
  <c r="O5" i="18"/>
  <c r="P5" i="18"/>
  <c r="Q5" i="18"/>
  <c r="A5" i="18"/>
  <c r="W32" i="6"/>
  <c r="L31" i="19" s="1"/>
  <c r="W13" i="6"/>
  <c r="W46" i="6"/>
  <c r="L45" i="19" s="1"/>
  <c r="AC6" i="6"/>
  <c r="AC7" i="6"/>
  <c r="AC8" i="6"/>
  <c r="AC9" i="6"/>
  <c r="AC10" i="6"/>
  <c r="AC11" i="6"/>
  <c r="AC12" i="6"/>
  <c r="AC13" i="6"/>
  <c r="AC14" i="6"/>
  <c r="AC15" i="6"/>
  <c r="AC16" i="6"/>
  <c r="AC17" i="6"/>
  <c r="AC18" i="6"/>
  <c r="AC19" i="6"/>
  <c r="AC20" i="6"/>
  <c r="AC21" i="6"/>
  <c r="AC22" i="6"/>
  <c r="AC23" i="6"/>
  <c r="AC24" i="6"/>
  <c r="AC25" i="6"/>
  <c r="AC26" i="6"/>
  <c r="AC27" i="6"/>
  <c r="AC28" i="6"/>
  <c r="AC29" i="6"/>
  <c r="AC30" i="6"/>
  <c r="AC32" i="6"/>
  <c r="AC31" i="6"/>
  <c r="AC33" i="6"/>
  <c r="AC34" i="6"/>
  <c r="AC35" i="6"/>
  <c r="AC36" i="6"/>
  <c r="AC37" i="6"/>
  <c r="AC38" i="6"/>
  <c r="AC39" i="6"/>
  <c r="AC40" i="6"/>
  <c r="AC41" i="6"/>
  <c r="AC42" i="6"/>
  <c r="AC43" i="6"/>
  <c r="AC44" i="6"/>
  <c r="AC45" i="6"/>
  <c r="AC46" i="6"/>
  <c r="AC47" i="6"/>
  <c r="AC48" i="6"/>
  <c r="AC49" i="6"/>
  <c r="AC50" i="6"/>
  <c r="AC51" i="6"/>
  <c r="AC52" i="6"/>
  <c r="AC53" i="6"/>
  <c r="AC54" i="6"/>
  <c r="AC55" i="6"/>
  <c r="AC56" i="6"/>
  <c r="AC57" i="6"/>
  <c r="AC58" i="6"/>
  <c r="AC59" i="6"/>
  <c r="AC60" i="6"/>
  <c r="AC61" i="6"/>
  <c r="AC62" i="6"/>
  <c r="AC63" i="6"/>
  <c r="AC64" i="6"/>
  <c r="AC65" i="6"/>
  <c r="AC66" i="6"/>
  <c r="AC67" i="6"/>
  <c r="AC68" i="6"/>
  <c r="AC69" i="6"/>
  <c r="AC70" i="6"/>
  <c r="AC71" i="6"/>
  <c r="AC72" i="6"/>
  <c r="AC73" i="6"/>
  <c r="AC74" i="6"/>
  <c r="AC75" i="6"/>
  <c r="AC76" i="6"/>
  <c r="AC77" i="6"/>
  <c r="AC78" i="6"/>
  <c r="AC79" i="6"/>
  <c r="AC80" i="6"/>
  <c r="AC81" i="6"/>
  <c r="AC82" i="6"/>
  <c r="AC83" i="6"/>
  <c r="AC84" i="6"/>
  <c r="AC85" i="6"/>
  <c r="AC86" i="6"/>
  <c r="AC87" i="6"/>
  <c r="AC88" i="6"/>
  <c r="AC89" i="6"/>
  <c r="AC90" i="6"/>
  <c r="AC92" i="6"/>
  <c r="AC91" i="6"/>
  <c r="AC93" i="6"/>
  <c r="AC94" i="6"/>
  <c r="AC95" i="6"/>
  <c r="AC96" i="6"/>
  <c r="W94" i="6"/>
  <c r="L93" i="19" s="1"/>
  <c r="AD92" i="6"/>
  <c r="W76" i="6"/>
  <c r="W58" i="6"/>
  <c r="AD58" i="6" s="1"/>
  <c r="W56" i="6"/>
  <c r="L55" i="19" s="1"/>
  <c r="AD54" i="6"/>
  <c r="W52" i="6"/>
  <c r="L51" i="19" s="1"/>
  <c r="W51" i="6"/>
  <c r="L50" i="19" s="1"/>
  <c r="AD47" i="6"/>
  <c r="W43" i="6"/>
  <c r="AD43" i="6" s="1"/>
  <c r="W40" i="6"/>
  <c r="AD40" i="6" s="1"/>
  <c r="AD36" i="6"/>
  <c r="AD35" i="6"/>
  <c r="W24" i="6"/>
  <c r="L23" i="19" s="1"/>
  <c r="AD23" i="6"/>
  <c r="AD21" i="6"/>
  <c r="AD19" i="6"/>
  <c r="L17" i="19"/>
  <c r="AD17" i="6"/>
  <c r="W12" i="6"/>
  <c r="AD12" i="6" s="1"/>
  <c r="W59" i="6"/>
  <c r="AD59" i="6" s="1"/>
  <c r="W77" i="6"/>
  <c r="L76" i="19" s="1"/>
  <c r="W78" i="6"/>
  <c r="AD78" i="6" s="1"/>
  <c r="W81" i="6"/>
  <c r="AD81" i="6" s="1"/>
  <c r="W89" i="6"/>
  <c r="AD89" i="6" s="1"/>
  <c r="L89" i="19"/>
  <c r="AD91" i="6"/>
  <c r="AD68" i="6"/>
  <c r="AD69" i="6"/>
  <c r="W25" i="6"/>
  <c r="L24" i="19" s="1"/>
  <c r="W26" i="6"/>
  <c r="AD26" i="6" s="1"/>
  <c r="W27" i="6"/>
  <c r="AD27" i="6" s="1"/>
  <c r="W28" i="6"/>
  <c r="AD28" i="6" s="1"/>
  <c r="W29" i="6"/>
  <c r="L28" i="19" s="1"/>
  <c r="W30" i="6"/>
  <c r="AD30" i="6" s="1"/>
  <c r="AD33" i="6"/>
  <c r="AD34" i="6"/>
  <c r="W42" i="6"/>
  <c r="L41" i="19" s="1"/>
  <c r="W44" i="6"/>
  <c r="AD44" i="6" s="1"/>
  <c r="AD49" i="6"/>
  <c r="W53" i="6"/>
  <c r="L52" i="19" s="1"/>
  <c r="W60" i="6"/>
  <c r="L59" i="19" s="1"/>
  <c r="W9" i="6"/>
  <c r="AD9" i="6" s="1"/>
  <c r="W10" i="6"/>
  <c r="AD10" i="6" s="1"/>
  <c r="W11" i="6"/>
  <c r="AD11" i="6" s="1"/>
  <c r="W14" i="6"/>
  <c r="L13" i="19" s="1"/>
  <c r="W16" i="6"/>
  <c r="AD16" i="6" s="1"/>
  <c r="AD22" i="6"/>
  <c r="D8" i="3"/>
  <c r="B38" i="3" a="1"/>
  <c r="B38" i="3"/>
  <c r="U64" i="18"/>
  <c r="U42" i="18"/>
  <c r="U92" i="18"/>
  <c r="U46" i="18"/>
  <c r="U95" i="18"/>
  <c r="U49" i="18"/>
  <c r="U54" i="18"/>
  <c r="U58" i="18"/>
  <c r="U88" i="18"/>
  <c r="U66" i="18"/>
  <c r="U21" i="18"/>
  <c r="U70" i="18"/>
  <c r="U73" i="18"/>
  <c r="U78" i="18"/>
  <c r="U36" i="18"/>
  <c r="U39" i="18"/>
  <c r="U90" i="18"/>
  <c r="U94" i="18"/>
  <c r="U97" i="18"/>
  <c r="U53" i="18"/>
  <c r="U72" i="18"/>
  <c r="U75" i="18"/>
  <c r="U43" i="18"/>
  <c r="U55" i="18"/>
  <c r="U67" i="18"/>
  <c r="U91" i="18"/>
  <c r="U65" i="18"/>
  <c r="U32" i="18"/>
  <c r="U81" i="18"/>
  <c r="U35" i="18"/>
  <c r="U84" i="18"/>
  <c r="U38" i="18"/>
  <c r="U87" i="18"/>
  <c r="U77" i="18"/>
  <c r="U44" i="18"/>
  <c r="U93" i="18"/>
  <c r="U47" i="18"/>
  <c r="U96" i="18"/>
  <c r="U50" i="18"/>
  <c r="U28" i="18"/>
  <c r="U89" i="18"/>
  <c r="U56" i="18"/>
  <c r="U59" i="18"/>
  <c r="U62" i="18"/>
  <c r="U40" i="18"/>
  <c r="U68" i="18"/>
  <c r="U22" i="18"/>
  <c r="U71" i="18"/>
  <c r="U25" i="18"/>
  <c r="U74" i="18"/>
  <c r="U52" i="18"/>
  <c r="U30" i="18"/>
  <c r="U80" i="18"/>
  <c r="U34" i="18"/>
  <c r="U83" i="18"/>
  <c r="U37" i="18"/>
  <c r="U86" i="18"/>
  <c r="U76" i="18"/>
  <c r="U61" i="18"/>
  <c r="U31" i="18"/>
  <c r="U24" i="18"/>
  <c r="U27" i="18"/>
  <c r="U33" i="18"/>
  <c r="U85" i="18"/>
  <c r="U29" i="18"/>
  <c r="U45" i="18"/>
  <c r="U48" i="18"/>
  <c r="U51" i="18"/>
  <c r="U41" i="18"/>
  <c r="U57" i="18"/>
  <c r="U60" i="18"/>
  <c r="U63" i="18"/>
  <c r="U79" i="18"/>
  <c r="U69" i="18"/>
  <c r="U23" i="18"/>
  <c r="U26" i="18"/>
  <c r="U82" i="18"/>
  <c r="U20" i="18" l="1"/>
  <c r="U18" i="18"/>
  <c r="U19" i="18"/>
  <c r="AD76" i="6"/>
  <c r="AD13" i="6"/>
  <c r="AD46" i="6"/>
  <c r="AD14" i="6"/>
  <c r="AD52" i="6"/>
  <c r="AD7" i="6"/>
  <c r="AD37" i="6"/>
  <c r="L12" i="19"/>
  <c r="AD38" i="6"/>
  <c r="AD56" i="6"/>
  <c r="AD18" i="6"/>
  <c r="AD94" i="6"/>
  <c r="L15" i="19"/>
  <c r="AD60" i="6"/>
  <c r="AD32" i="6"/>
  <c r="AD42" i="6"/>
  <c r="AD6" i="6"/>
  <c r="AD67" i="6"/>
  <c r="L66" i="19"/>
  <c r="L58" i="19"/>
  <c r="L87" i="19"/>
  <c r="AD90" i="6"/>
  <c r="AD24" i="6"/>
  <c r="AD39" i="6"/>
  <c r="L9" i="19"/>
  <c r="L22" i="19"/>
  <c r="L21" i="19"/>
  <c r="L11" i="19"/>
  <c r="AD29" i="6"/>
  <c r="AD77" i="6"/>
  <c r="L6" i="19"/>
  <c r="L35" i="19"/>
  <c r="L34" i="19"/>
  <c r="L33" i="19"/>
  <c r="L32" i="19"/>
  <c r="L29" i="19"/>
  <c r="L27" i="19"/>
  <c r="L77" i="19"/>
  <c r="L42" i="19"/>
  <c r="L39" i="19"/>
  <c r="L44" i="19"/>
  <c r="L43" i="19"/>
  <c r="L26" i="19"/>
  <c r="L25" i="19"/>
  <c r="L91" i="19"/>
  <c r="L90" i="19"/>
  <c r="L88" i="19"/>
  <c r="L85" i="19"/>
  <c r="L84" i="19"/>
  <c r="L83" i="19"/>
  <c r="L80" i="19"/>
  <c r="L75" i="19"/>
  <c r="L72" i="19"/>
  <c r="L68" i="19"/>
  <c r="L67" i="19"/>
  <c r="L57" i="19"/>
  <c r="L54" i="19"/>
  <c r="L8" i="19"/>
  <c r="L20" i="19"/>
  <c r="L18" i="19"/>
  <c r="L16" i="19"/>
  <c r="AD8" i="6"/>
  <c r="L49" i="19"/>
  <c r="AD53" i="6"/>
  <c r="AD25" i="6"/>
  <c r="AD51" i="6"/>
  <c r="L10" i="19"/>
  <c r="U17" i="18"/>
  <c r="U15" i="18"/>
  <c r="U8" i="18"/>
  <c r="U6" i="18"/>
  <c r="U13" i="18"/>
  <c r="U10" i="18"/>
  <c r="U14" i="18"/>
  <c r="A6" i="18"/>
  <c r="U16" i="18"/>
  <c r="U11" i="18"/>
  <c r="U7" i="18"/>
  <c r="U12"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UN80 Action Plan (2)" description="Connection to the 'UN80 Action Plan (2)' query in the workbook." type="5" refreshedVersion="8" background="1" saveData="1">
    <dbPr connection="Provider=Microsoft.Mashup.OleDb.1;Data Source=$Workbook$;Location=&quot;UN80 Action Plan (2)&quot;;Extended Properties=&quot;&quot;" command="SELECT * FROM [UN80 Action Plan (2)]"/>
  </connection>
  <connection id="2" xr16:uid="{00000000-0015-0000-FFFF-FFFF01000000}" keepAlive="1" name="Query - UN80 Action Plan (3)" description="Connection to the 'UN80 Action Plan (3)' query in the workbook." type="5" refreshedVersion="8" background="1" saveData="1">
    <dbPr connection="Provider=Microsoft.Mashup.OleDb.1;Data Source=$Workbook$;Location=&quot;UN80 Action Plan (3)&quot;;Extended Properties=&quot;&quot;" command="SELECT * FROM [UN80 Action Plan (3)]"/>
  </connection>
  <connection id="3" xr16:uid="{00000000-0015-0000-FFFF-FFFF02000000}" odcFile="C:\Users\PUSTRIYANA\Downloads\query (9).iqy" keepAlive="1" name="query (9)" type="5" refreshedVersion="8" minRefreshableVersion="3" saveData="1">
    <dbPr connection="Provider=Microsoft.Office.List.OLEDB.2.0;Data Source=&quot;&quot;;ApplicationName=Excel;Version=12.0.0.0" command="&lt;LIST&gt;&lt;VIEWGUID&gt;6CFBA94D-8E66-4A9F-96AC-6592BF5C0B1A&lt;/VIEWGUID&gt;&lt;LISTNAME&gt;6355f4bf-c34b-4213-b288-b9b60a52ab28&lt;/LISTNAME&gt;&lt;LISTWEB&gt;https://unitednations.sharepoint.com/sites/UN80/_vti_bin&lt;/LISTWEB&gt;&lt;LISTSUBWEB&gt;&lt;/LISTSUBWEB&gt;&lt;ROOTFOLDER&gt;&lt;/ROOTFOLDER&gt;&lt;/LIST&gt;" commandType="5"/>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<sst xmlns="http://schemas.openxmlformats.org/spreadsheetml/2006/main" count="3996" uniqueCount="1474">
  <si>
    <t>Submission Checklist 28th November</t>
  </si>
  <si>
    <t xml:space="preserve">Principals </t>
  </si>
  <si>
    <t xml:space="preserve">Focal Points submitted </t>
  </si>
  <si>
    <r>
      <rPr>
        <sz val="12"/>
        <color rgb="FF000000"/>
        <rFont val="Roboto Light"/>
      </rPr>
      <t xml:space="preserve">Admin. </t>
    </r>
    <r>
      <rPr>
        <sz val="12"/>
        <color rgb="FF000000"/>
        <rFont val="Roboto Medium"/>
      </rPr>
      <t>UNDP</t>
    </r>
  </si>
  <si>
    <t>yes</t>
  </si>
  <si>
    <r>
      <rPr>
        <sz val="12"/>
        <color rgb="FF000000"/>
        <rFont val="Roboto Light"/>
      </rPr>
      <t xml:space="preserve">ASG </t>
    </r>
    <r>
      <rPr>
        <sz val="12"/>
        <color rgb="FF000000"/>
        <rFont val="Roboto Medium"/>
      </rPr>
      <t>DCO</t>
    </r>
  </si>
  <si>
    <r>
      <t>CDC</t>
    </r>
    <r>
      <rPr>
        <sz val="12"/>
        <rFont val="Roboto Medium"/>
      </rPr>
      <t>​</t>
    </r>
  </si>
  <si>
    <r>
      <rPr>
        <sz val="12"/>
        <color rgb="FF000000"/>
        <rFont val="Roboto Light"/>
      </rPr>
      <t xml:space="preserve">Chair </t>
    </r>
    <r>
      <rPr>
        <sz val="12"/>
        <color rgb="FF000000"/>
        <rFont val="Roboto Medium"/>
      </rPr>
      <t>DTN</t>
    </r>
  </si>
  <si>
    <r>
      <t xml:space="preserve">Chair </t>
    </r>
    <r>
      <rPr>
        <sz val="12"/>
        <color rgb="FF000000"/>
        <rFont val="Roboto Medium"/>
      </rPr>
      <t>HLCM</t>
    </r>
    <r>
      <rPr>
        <sz val="12"/>
        <rFont val="Roboto Medium"/>
      </rPr>
      <t>​</t>
    </r>
  </si>
  <si>
    <r>
      <rPr>
        <sz val="12"/>
        <color rgb="FF000000"/>
        <rFont val="Roboto Light"/>
      </rPr>
      <t xml:space="preserve">Co-Chairs </t>
    </r>
    <r>
      <rPr>
        <sz val="12"/>
        <color rgb="FF000000"/>
        <rFont val="Roboto Medium"/>
      </rPr>
      <t>BIG</t>
    </r>
  </si>
  <si>
    <r>
      <t>DSG</t>
    </r>
    <r>
      <rPr>
        <sz val="12"/>
        <rFont val="Roboto Medium"/>
      </rPr>
      <t>​</t>
    </r>
  </si>
  <si>
    <r>
      <rPr>
        <sz val="12"/>
        <color rgb="FF000000"/>
        <rFont val="Roboto Light"/>
      </rPr>
      <t xml:space="preserve">ED </t>
    </r>
    <r>
      <rPr>
        <sz val="12"/>
        <color rgb="FF000000"/>
        <rFont val="Roboto Medium"/>
      </rPr>
      <t>UN</t>
    </r>
    <r>
      <rPr>
        <sz val="12"/>
        <color rgb="FF000000"/>
        <rFont val="Roboto Light"/>
      </rPr>
      <t xml:space="preserve"> </t>
    </r>
    <r>
      <rPr>
        <sz val="12"/>
        <color rgb="FF000000"/>
        <rFont val="Roboto Medium"/>
      </rPr>
      <t>Women</t>
    </r>
  </si>
  <si>
    <r>
      <rPr>
        <sz val="12"/>
        <color rgb="FF000000"/>
        <rFont val="Roboto Light"/>
      </rPr>
      <t xml:space="preserve">ED </t>
    </r>
    <r>
      <rPr>
        <sz val="12"/>
        <color rgb="FF000000"/>
        <rFont val="Roboto Medium"/>
      </rPr>
      <t>UNAIDS</t>
    </r>
  </si>
  <si>
    <r>
      <rPr>
        <sz val="12"/>
        <color rgb="FF000000"/>
        <rFont val="Roboto Light"/>
      </rPr>
      <t xml:space="preserve">ED </t>
    </r>
    <r>
      <rPr>
        <sz val="12"/>
        <color rgb="FF000000"/>
        <rFont val="Roboto Medium"/>
      </rPr>
      <t>UNFPA</t>
    </r>
  </si>
  <si>
    <r>
      <rPr>
        <sz val="12"/>
        <color rgb="FF000000"/>
        <rFont val="Roboto Light"/>
      </rPr>
      <t xml:space="preserve">ED </t>
    </r>
    <r>
      <rPr>
        <sz val="12"/>
        <color rgb="FF000000"/>
        <rFont val="Roboto Medium"/>
      </rPr>
      <t>UNICEF</t>
    </r>
  </si>
  <si>
    <r>
      <rPr>
        <sz val="12"/>
        <color rgb="FF000000"/>
        <rFont val="Roboto Light"/>
      </rPr>
      <t xml:space="preserve">ED </t>
    </r>
    <r>
      <rPr>
        <sz val="12"/>
        <color rgb="FF000000"/>
        <rFont val="Roboto Medium"/>
      </rPr>
      <t>UNITAR</t>
    </r>
  </si>
  <si>
    <r>
      <rPr>
        <sz val="12"/>
        <color rgb="FF000000"/>
        <rFont val="Roboto Light"/>
      </rPr>
      <t xml:space="preserve">ED </t>
    </r>
    <r>
      <rPr>
        <sz val="12"/>
        <color rgb="FF000000"/>
        <rFont val="Roboto Medium"/>
      </rPr>
      <t>UNOPS</t>
    </r>
  </si>
  <si>
    <r>
      <rPr>
        <sz val="12"/>
        <color rgb="FF000000"/>
        <rFont val="Roboto Light"/>
      </rPr>
      <t xml:space="preserve">ED </t>
    </r>
    <r>
      <rPr>
        <sz val="12"/>
        <color rgb="FF000000"/>
        <rFont val="Roboto Medium"/>
      </rPr>
      <t>WFP</t>
    </r>
  </si>
  <si>
    <r>
      <t xml:space="preserve">ES </t>
    </r>
    <r>
      <rPr>
        <sz val="12"/>
        <color rgb="FF000000"/>
        <rFont val="Roboto Medium"/>
      </rPr>
      <t>ECA</t>
    </r>
    <r>
      <rPr>
        <sz val="12"/>
        <rFont val="Roboto Medium"/>
      </rPr>
      <t>​</t>
    </r>
  </si>
  <si>
    <r>
      <rPr>
        <sz val="12"/>
        <color rgb="FF000000"/>
        <rFont val="Roboto Light"/>
      </rPr>
      <t xml:space="preserve">ES </t>
    </r>
    <r>
      <rPr>
        <sz val="12"/>
        <color rgb="FF000000"/>
        <rFont val="Roboto Medium"/>
      </rPr>
      <t>UNFCCC</t>
    </r>
  </si>
  <si>
    <r>
      <rPr>
        <sz val="12"/>
        <color rgb="FF000000"/>
        <rFont val="Roboto Light"/>
      </rPr>
      <t xml:space="preserve">HC </t>
    </r>
    <r>
      <rPr>
        <sz val="12"/>
        <color rgb="FF000000"/>
        <rFont val="Roboto Medium"/>
      </rPr>
      <t>OHCHR</t>
    </r>
  </si>
  <si>
    <r>
      <rPr>
        <sz val="12"/>
        <color rgb="FF000000"/>
        <rFont val="Roboto Light"/>
      </rPr>
      <t xml:space="preserve">Rector </t>
    </r>
    <r>
      <rPr>
        <sz val="12"/>
        <color rgb="FF000000"/>
        <rFont val="Roboto Medium"/>
      </rPr>
      <t>UNU</t>
    </r>
  </si>
  <si>
    <r>
      <t xml:space="preserve">SA </t>
    </r>
    <r>
      <rPr>
        <sz val="12"/>
        <color rgb="FF000000"/>
        <rFont val="Roboto Medium"/>
      </rPr>
      <t>Reform</t>
    </r>
    <r>
      <rPr>
        <sz val="12"/>
        <rFont val="Roboto Medium"/>
      </rPr>
      <t>​</t>
    </r>
  </si>
  <si>
    <t xml:space="preserve">SG    </t>
  </si>
  <si>
    <r>
      <t xml:space="preserve">SG </t>
    </r>
    <r>
      <rPr>
        <sz val="12"/>
        <color rgb="FF000000"/>
        <rFont val="Roboto Medium"/>
      </rPr>
      <t>ITU</t>
    </r>
    <r>
      <rPr>
        <sz val="12"/>
        <rFont val="Roboto Medium"/>
      </rPr>
      <t>​</t>
    </r>
  </si>
  <si>
    <r>
      <rPr>
        <sz val="12"/>
        <color rgb="FF000000"/>
        <rFont val="Roboto Light"/>
      </rPr>
      <t xml:space="preserve">SG </t>
    </r>
    <r>
      <rPr>
        <sz val="12"/>
        <color rgb="FF000000"/>
        <rFont val="Roboto Medium"/>
      </rPr>
      <t>UNCTAD</t>
    </r>
  </si>
  <si>
    <r>
      <t xml:space="preserve">USG </t>
    </r>
    <r>
      <rPr>
        <sz val="12"/>
        <color rgb="FF000000"/>
        <rFont val="Roboto Medium"/>
      </rPr>
      <t>DESA</t>
    </r>
    <r>
      <rPr>
        <sz val="12"/>
        <rFont val="Roboto Medium"/>
      </rPr>
      <t>​</t>
    </r>
  </si>
  <si>
    <r>
      <t xml:space="preserve">USG </t>
    </r>
    <r>
      <rPr>
        <sz val="12"/>
        <color rgb="FF000000"/>
        <rFont val="Roboto Medium"/>
      </rPr>
      <t>DGACM</t>
    </r>
    <r>
      <rPr>
        <sz val="12"/>
        <rFont val="Roboto Medium"/>
      </rPr>
      <t>​</t>
    </r>
  </si>
  <si>
    <t>USG DMSPC</t>
  </si>
  <si>
    <r>
      <t xml:space="preserve">USG </t>
    </r>
    <r>
      <rPr>
        <sz val="12"/>
        <color rgb="FF000000"/>
        <rFont val="Roboto Medium"/>
      </rPr>
      <t>DOS</t>
    </r>
    <r>
      <rPr>
        <sz val="12"/>
        <rFont val="Roboto Medium"/>
      </rPr>
      <t>​</t>
    </r>
  </si>
  <si>
    <r>
      <t xml:space="preserve">USG </t>
    </r>
    <r>
      <rPr>
        <sz val="12"/>
        <color rgb="FF000000"/>
        <rFont val="Roboto Medium"/>
      </rPr>
      <t>DPO</t>
    </r>
    <r>
      <rPr>
        <sz val="12"/>
        <rFont val="Roboto Medium"/>
      </rPr>
      <t>​</t>
    </r>
  </si>
  <si>
    <r>
      <t xml:space="preserve">USG </t>
    </r>
    <r>
      <rPr>
        <sz val="12"/>
        <color rgb="FF000000"/>
        <rFont val="Roboto Medium"/>
      </rPr>
      <t>DPPA</t>
    </r>
    <r>
      <rPr>
        <sz val="12"/>
        <rFont val="Roboto Medium"/>
      </rPr>
      <t>​</t>
    </r>
  </si>
  <si>
    <t xml:space="preserve">USG OCHA </t>
  </si>
  <si>
    <r>
      <t xml:space="preserve">USG </t>
    </r>
    <r>
      <rPr>
        <sz val="12"/>
        <color rgb="FF000000"/>
        <rFont val="Roboto Medium"/>
      </rPr>
      <t>OCT</t>
    </r>
    <r>
      <rPr>
        <sz val="12"/>
        <rFont val="Roboto Medium"/>
      </rPr>
      <t>​</t>
    </r>
  </si>
  <si>
    <r>
      <t xml:space="preserve">USG </t>
    </r>
    <r>
      <rPr>
        <sz val="12"/>
        <color rgb="FF000000"/>
        <rFont val="Roboto Medium"/>
      </rPr>
      <t>ODA</t>
    </r>
    <r>
      <rPr>
        <sz val="12"/>
        <rFont val="Roboto Medium"/>
      </rPr>
      <t>​</t>
    </r>
  </si>
  <si>
    <t>USG Policy</t>
  </si>
  <si>
    <t>USG UNEP</t>
  </si>
  <si>
    <r>
      <rPr>
        <sz val="12"/>
        <color rgb="FF000000"/>
        <rFont val="Roboto Light"/>
      </rPr>
      <t xml:space="preserve">USG </t>
    </r>
    <r>
      <rPr>
        <sz val="12"/>
        <color rgb="FF000000"/>
        <rFont val="Roboto Medium"/>
      </rPr>
      <t>UNODC</t>
    </r>
  </si>
  <si>
    <t>FileSystemObjectType</t>
  </si>
  <si>
    <t>Id</t>
  </si>
  <si>
    <t>ServerRedirectedEmbedUri</t>
  </si>
  <si>
    <t>ServerRedirectedEmbedUrl</t>
  </si>
  <si>
    <t>ContentTypeId</t>
  </si>
  <si>
    <t>Title</t>
  </si>
  <si>
    <t>OData__ColorTag</t>
  </si>
  <si>
    <t>ComplianceAssetId</t>
  </si>
  <si>
    <t>Action No.</t>
  </si>
  <si>
    <t>Work Package</t>
  </si>
  <si>
    <t>Indicative Action</t>
  </si>
  <si>
    <t>WP Leads</t>
  </si>
  <si>
    <t>Milestone 1</t>
  </si>
  <si>
    <t>Milestone 1 Deadline</t>
  </si>
  <si>
    <t>Action Lead(s)</t>
  </si>
  <si>
    <t>Action Support(s)</t>
  </si>
  <si>
    <t>Master-List-ID</t>
  </si>
  <si>
    <t>Milestone Final</t>
  </si>
  <si>
    <t>Milestone Final Deadline</t>
  </si>
  <si>
    <t>ID2</t>
  </si>
  <si>
    <t>Modified</t>
  </si>
  <si>
    <t>Created</t>
  </si>
  <si>
    <t>AuthorId</t>
  </si>
  <si>
    <t>EditorId</t>
  </si>
  <si>
    <t>OData__UIVersionString</t>
  </si>
  <si>
    <t>Attachments</t>
  </si>
  <si>
    <t>GUID</t>
  </si>
  <si>
    <t/>
  </si>
  <si>
    <t>0x0100B7189DADE8EA1A40B9BF8DA45310AFE600A178D82D6E6846409061C607AC5C63EE</t>
  </si>
  <si>
    <t>A01</t>
  </si>
  <si>
    <t>WP1: Peace operations (task delegation; review)</t>
  </si>
  <si>
    <t>Delegate relevant programmatic tasks such as rule of law, governance and child protection – and the associated resources – to UN system entities best equipped to deliver them</t>
  </si>
  <si>
    <t>USG DPPA;USG DPO</t>
  </si>
  <si>
    <t>With respect toUSGs DiCarlo and Lacroix would lead, with the participation of UNDP, OCHA, DCO, OHCHR, PBSO, OROLSI, UNICEF, UN Women, and the SRSGs CAAC and SVC</t>
  </si>
  <si>
    <t xml:space="preserve">USG Lacroix; USG DiCarlo </t>
  </si>
  <si>
    <t xml:space="preserve">David Haeri, Director, DPET, DPO; Asif Khan, Diector, PMD, DPPA </t>
  </si>
  <si>
    <t>10.0</t>
  </si>
  <si>
    <t>e0b494ac-2ecf-4531-ad3e-a1c996179786</t>
  </si>
  <si>
    <t>A02</t>
  </si>
  <si>
    <t>Present comprehensive proposal for the reset of peace operations to Member States upon conclusion of the review mandated by the Pact for the Future</t>
  </si>
  <si>
    <t>Review of the future of peace operations completed</t>
  </si>
  <si>
    <t>USGs DPPA and DPO, Rosemary DiCarlo and Jean-Pierre Lacroix</t>
  </si>
  <si>
    <t>Directors PMD and DPET, Asif R. Khan and David Haeri</t>
  </si>
  <si>
    <t>5.0</t>
  </si>
  <si>
    <t>0a9ea861-8ccc-43e8-ab8c-f6dc51658417</t>
  </si>
  <si>
    <t>A03</t>
  </si>
  <si>
    <t>WP2: New Humanitarian Compact</t>
  </si>
  <si>
    <t>Streamline Humanitarian Needs and Response Plans to become shorter and sharper</t>
  </si>
  <si>
    <t>USG OCHA</t>
  </si>
  <si>
    <t>6.0</t>
  </si>
  <si>
    <t>21c7739b-702b-4143-be35-401ff3713af0</t>
  </si>
  <si>
    <t>A04</t>
  </si>
  <si>
    <t xml:space="preserve">Integrate global supply chains, coordinating procurement of key items, pool use of global freight and logistics, and unbranded in-country services open to the entire UN system </t>
  </si>
  <si>
    <t>7bf06f11-c783-407f-b724-f6eba4e2c925</t>
  </si>
  <si>
    <t>A05</t>
  </si>
  <si>
    <t>Scale common services with a Global Services Hub and interoperable digital platforms to help consolidate surge rosters, logistics, security, telecoms and engineering support</t>
  </si>
  <si>
    <t>1.0</t>
  </si>
  <si>
    <t>5897e117-f5fb-4f90-97b9-a4a40228e5ad</t>
  </si>
  <si>
    <t>A06</t>
  </si>
  <si>
    <t>Initiate new Humanitarian Data Collaborative, to scale common platforms, collective financing, shared centres, capacities and standards</t>
  </si>
  <si>
    <t>750e3ec7-c96a-4272-90df-edc81a644fec</t>
  </si>
  <si>
    <t>A07</t>
  </si>
  <si>
    <t>Initiate Collaborative Humanitarian Diplomacy Initiative to bring agencies together under the coordination of the Emergency Relief Coordinator</t>
  </si>
  <si>
    <t>29159a3e-0b0b-46fd-b622-401cb5c9b3a6</t>
  </si>
  <si>
    <t>A08</t>
  </si>
  <si>
    <t xml:space="preserve">Align agencies’ responsibilities: FAO/WFP/IFAD on food security </t>
  </si>
  <si>
    <t>ed9ca06d-3cbe-4227-b153-bb81fbddc316</t>
  </si>
  <si>
    <t>A09</t>
  </si>
  <si>
    <t xml:space="preserve">Align agencies’ responsibilities: UNHCR/IOM on joint institutional approaches (incl. route-based programming) </t>
  </si>
  <si>
    <t>d4ddc385-4167-4c55-9c90-104a9215d64a</t>
  </si>
  <si>
    <t>A10</t>
  </si>
  <si>
    <t>Align agencies’ responsibilities: UNICEF/WFP/UNHCR/IOM on beneficiary data</t>
  </si>
  <si>
    <t>3a61ded2-8559-448b-8c36-6c7ac87e35e1</t>
  </si>
  <si>
    <t>A11</t>
  </si>
  <si>
    <t>Align agencies’ responsibilities: WHO/UNICEF/WFP on health and nutrition</t>
  </si>
  <si>
    <t>699c9758-d4dc-4e87-b1ef-99265d6e0c99</t>
  </si>
  <si>
    <t>A12</t>
  </si>
  <si>
    <t>WP3: UNDP/UNOPS</t>
  </si>
  <si>
    <t>Conduct a thorough assessment of the benefits of a merger between UNDP and UNOPS; analysis to be presented to the Executive Boards in February 2026</t>
  </si>
  <si>
    <t>DSG;Administrator UNDP;ED UNOPS</t>
  </si>
  <si>
    <t>•	Draft initial assessment analysis of the ‘as is’ with high level merger options, pros, cons, risk analysis for internal consultations</t>
  </si>
  <si>
    <t xml:space="preserve">1.	Amina Mohammed, DSG, amina.mohammed@un.org
2.	Jorge Moreira Da Silva, USG – UNOPS, jorge.moreiradasilva@unops.org
3.	Alexander de Croo, USG – UNDP, alexander.de.croo@undp.org 
</t>
  </si>
  <si>
    <t xml:space="preserve">1.	Sonja Leighton-Kone, ASG - UNOPS, sonjalk@unops.org 
2.	Linda Maguire, ASG - UNDP,  linda.maguire@undp.org 
3.	Rahul Malhotra, Director New York Office, UNOPS, rahulm@unops.org
2.4.	Fiona Bayat-Renoux, Deputy Chief of Staff, UNDP, Fiona.bayat-renoux@undp.org
3.5.	Jean-Philippe Bernardini, Senior Political Affairs Officer, EOSG, Bernardini@un.org 
</t>
  </si>
  <si>
    <t>Thorough assessment of selected option(s) provided to Member States and guidance given through a General Assembly decision</t>
  </si>
  <si>
    <t>4.0</t>
  </si>
  <si>
    <t>d14b25b6-baf6-46b1-bc3a-c646635fff65</t>
  </si>
  <si>
    <t>A13</t>
  </si>
  <si>
    <t>WP4: UNFPA/UN Women</t>
  </si>
  <si>
    <t xml:space="preserve">Conduct a thorough assessment of the benefits of a merger of UNFPA and UN Women and their respective mandates </t>
  </si>
  <si>
    <t>DSG;ED UNFPA;ED UN Women</t>
  </si>
  <si>
    <t>Strategic merger assessment is completed for internal consultations, including risk/benefit considerations</t>
  </si>
  <si>
    <t xml:space="preserve">Amina Mohammed, DSG, Amina.mohammed@un.org
Sima Bahous, Executive Director, UN Women sima.bahous@unwomen.org
Diene Keita, Executive Director, UNFPA, Keita@unfpa.org </t>
  </si>
  <si>
    <t>Jean Philippe Bernardini, Senior Political Affairs Officer, bernardini@un.org
Sam Choritz, Chief of Staff, UNFPA, choritz@unfpa.org
Mohammad Naciri, Chief of Staff, UN Women, mohammad.naciri@unwomen.org</t>
  </si>
  <si>
    <t>By mid-2026, a thorough assessment is provided to Member States for a General Assembly decision</t>
  </si>
  <si>
    <t>13.0</t>
  </si>
  <si>
    <t>d9e3af62-a6c8-4989-be12-c94e236b40b4</t>
  </si>
  <si>
    <t>A14</t>
  </si>
  <si>
    <t>Conduct a thorough assessment to consider options to optimize normative functions of UNFPA on population statistics and related activities, including those currently undertaken by DESA</t>
  </si>
  <si>
    <t>Options for optimization of the UN’s work on population statistics and related activities are finalized for SG consideration and integrated in merger analysis</t>
  </si>
  <si>
    <t>1.	Amina Mohammed, DSG, Amina.mohammed@un.org
2.	Sima Bahous, Executive Director, UN Women sima.bahous@unwomen.org 
3.	Diene Keita, Executive Director, UNFPA, Keita@unfpa.org 
4.	USG Li Junhua, USG DESA, junhua.li@un.org</t>
  </si>
  <si>
    <t xml:space="preserve">1.	Jean Philippe Bernardini, Senior Political Affairs Officer, bernardini@un.org
2.	Sam Choritz, Chief of Staff, UNFPA, choritz@unfpa.org
3.	Mohammad Naciri, Chief of Staff, UN Women, mohammad.naciri@unwomen.org 
</t>
  </si>
  <si>
    <t xml:space="preserve">A final assessment is integrated into the UNWomen/UNFPA merger process, as per timelines above. </t>
  </si>
  <si>
    <t>7.0</t>
  </si>
  <si>
    <t>4d7a9de4-0cc8-4366-b8c4-5dd9982cf91a</t>
  </si>
  <si>
    <t>A15</t>
  </si>
  <si>
    <t>WP5: UNCT reconfiguration</t>
  </si>
  <si>
    <t>Propose a model to reconfigure country teams via system-wide working group, chaired by the Deputy Secretary-General</t>
  </si>
  <si>
    <t>DSG</t>
  </si>
  <si>
    <t xml:space="preserve">Outline of the draft proposals presented to the Secretary-General for guidance </t>
  </si>
  <si>
    <t xml:space="preserve">1.	Amina J. Mohammed, DSG, Amina.mohammed@un.org
2.	Jorge Moreira Da Silva, USG – UNOPS, jorge.moreiradasilva@unops.org
</t>
  </si>
  <si>
    <t xml:space="preserve">1.	Rahul Malhorta, Director, UNOPS, rahulm@unops.org
2.	Jean Philippe Bernardini, Senior Political Affairs Officer, bernardini@un.org
</t>
  </si>
  <si>
    <t>Member States take action/decide on final set of proposals presented by the SG (report finalized by 31 May 2026 – TBC, depending next reporting cycle)</t>
  </si>
  <si>
    <t>42617088-b056-4e06-9d9e-b79391e942cc</t>
  </si>
  <si>
    <t>A16</t>
  </si>
  <si>
    <t>Strengthen and recalibrate the Resident Coordinator system to better leverage knowledge hubs, expertise-on-demand, and non-resident entities</t>
  </si>
  <si>
    <t>The parameters for the recalibration of the RC system are defined and being consulted with Member States (e.g. change in DCO structure, more tailored approach)</t>
  </si>
  <si>
    <t xml:space="preserve">1.	Amina J. Mohammed, DSG, Amina.mohammed@un.org
2.	Oscar Fernandez-Taranco, DCO fernandez-taranco@un.org
</t>
  </si>
  <si>
    <t>1.	Jean Philippe Bernardini, Senior Political Affairs Officer, bernardini@un.org</t>
  </si>
  <si>
    <t>All measures to recalibrate the RC system (DCO 2.0) are implemented and a decision to enhance the funding model of the RC system is successfully tabled in the</t>
  </si>
  <si>
    <t>ea519c52-4d19-4969-b210-4d312d140e95</t>
  </si>
  <si>
    <t>A17</t>
  </si>
  <si>
    <t>WP6: Regional reset</t>
  </si>
  <si>
    <t>Establish a system-wide working group, chaired by the Deputy Secretary-General, to develop proposals on how to advance a reset of regional capacities for sustainable development, incl. on how to institutionalize Regional Integrated Platforms</t>
  </si>
  <si>
    <t>system-wide working group convened and draft outline finalized and shared with the Secretary-General for guidance</t>
  </si>
  <si>
    <t xml:space="preserve">1.	Amina J. Mohammed, DSG, Amina.mohammed@un.org
2.	Izumi Nakamitsu, USG – ODA, nakamitsu@un.org 
</t>
  </si>
  <si>
    <t>Aspects of the regional reset under SG prerogative are implemented and decisions taken by Member States on aspects requiring new mandates (report May 2026 -TBC)</t>
  </si>
  <si>
    <t>4a2996a2-167e-41a3-a9f6-2df8237a6e8f</t>
  </si>
  <si>
    <t>A18</t>
  </si>
  <si>
    <t>Systematize the practice of hosting regional capacities within the Regional Economic Commissions, starting with DCO regional directors and teams</t>
  </si>
  <si>
    <t>Develop initial proposals for co-hosting for further consultation, taking into consideration the unique regional needs and contexts.</t>
  </si>
  <si>
    <t xml:space="preserve">1.	Amina J. Mohammed, DSG, Amina.mohammed@un.org
2.	Izumi Nakamitsu, USG – ODA, nakamitsu@un.org 
3.	Oscar Fernandez Taranco, ASG – DCO, fernandez-taranco@un.org 
</t>
  </si>
  <si>
    <t xml:space="preserve">4.	Jean Philippe Bernardini, Senior Political Affairs Officer, bernardini@un.org
5.	Nadia Hadi, Chief of Staff DCO, hadin@un.org
6.	Thilmeeza Hussain, Director, Regional Commission Office,  thilmeeza.hussain@un.org  
</t>
  </si>
  <si>
    <t xml:space="preserve">Relocation of respective offices to be hosted by RECs is complete or ongoing, according to implementation plan developed for each region by 29 May 2026. </t>
  </si>
  <si>
    <t>f1aaf1b1-05df-411a-8e7e-283247847158</t>
  </si>
  <si>
    <t>A19</t>
  </si>
  <si>
    <t>WP7: Joint knowledge hubs</t>
  </si>
  <si>
    <t>Establish Joint Knowledge Hubs to pool knowledge on key issues spread across UN development system entities and avoid duplications, including finding the best placed entities to co-leads (through joint mechanisms)</t>
  </si>
  <si>
    <t>USG DESA;SG UNCTAD</t>
  </si>
  <si>
    <t>The first meeting endorsed the concept note, agreed on hub list with leads, and committed to distinct value and collaboration with UN mechanisms.</t>
  </si>
  <si>
    <t>Rebeca Grynspan, Secretary-General of UNCTAD, rebeca.grynspan@unctad.org
LI Junhua, Under-Secretary-General of DESA, junhua.li@un.org</t>
  </si>
  <si>
    <t>Adnan Issa, Director, Programme Management, UNCTAD, issa@unctad.org
Wai Min Kwok, Acting Chief, Office of the USG, DESA, kwok@un.org
Carlos Razo, Senior Coordinator, Office of the Secretary General, UNCTAD, carlos.razo@un.org 
Guenther Gross, Senior Programme Management Officer, Office of the USG, DESA, gross1@un.org</t>
  </si>
  <si>
    <t>Established hubs deliver coherent, efficient UN-wide support, integrating data and knowledge for policy coherence and innovative solutions.</t>
  </si>
  <si>
    <t>1f4433d6-a917-4565-8264-ba1ac0c0274e</t>
  </si>
  <si>
    <t>A20</t>
  </si>
  <si>
    <t>WP8: Expertise-on-demand mechanism</t>
  </si>
  <si>
    <t>Create a pro-active mechanism UN system-wide expertise on demand, particularly from specialized agencies and non-resident entities</t>
  </si>
  <si>
    <t>SG ITU</t>
  </si>
  <si>
    <t>Concept endorsed. Legal/financial assessment, catalogue design, &amp; demand protocol and arrangements.</t>
  </si>
  <si>
    <t xml:space="preserve">Leads: 
ITU: Ms. Doreen Bogdan-Martin, Secretary-General (sgo@itu.int)
UNDP Invited to co-Lead: Haoliang Xu, Acting Administrator (haoliang.xu@undp.org)
Members: 
FAO: Mr. Qu Dongyu, Director General (director-general@fao.org; dongyu.qu@fao.org)
ICAO: Mr. Juan Carlos Salazar, Secretary-General (OSGinbox@icao.int; jsalazar@icao.int)
ILO: Mr. Gilbert F. Houngbo, Director General (ILODirector-General@ilo.org)
UNESCO: Mr Khaled El-Enany, Director-General (dg.secretariat@unesco.org)
UNIDO: Gerd Müller, Director General (ODG@unido.org)
WMO: Ms Celeste Saulo, Secretary-General (sgomm@wmo.int)
ITC: Ms. Pamela Coke-Hamilton, Executive Director and ASG  (cokehamilton@intracen.org); front office: Ascension Carrasco Rodriguez (carrasco@intracen.org)
UN Women: Sima Bahous, Executive Director. Sima Sami Bahous (sima.bahous@unwomen.org)
Regional Commissions: Mr. Claver Gatete, Coordinator of the Regional Commissions, ECA Executive Secretary (cgatete@un.org)
Ms. Tatiana Molcean, Executive Secretary of ECE (tatiana.molcean@un.org)
Mr. Mourad Wahba, Acting Executive of ESCWA Secretary  (mourad.wahba@un.org)
In addition, invited to contribute as standing members subject to confirmation:
WHO: Mr. Tedros Adhanom Ghebreyesus, Director General (dgoffice@who.int; drtedros@who.int) tbc
UNCTAD: Ms. Rebeca Grynspan, Secretary-General (rebeca.grynspan@unctad.org) tbc
</t>
  </si>
  <si>
    <t xml:space="preserve">ITU: Tomas Lamanauskas, Deputy Secretary-General (dsg@itu.int)
UNDP: Linda Maquire, Asst Secretary General and Director, Bureau for Management Services (linda.maguire@undp.org)
FAO:  Beth Crawford, Assistant Director-General/Director, Office of Strategy, Programme and Budget (beth.crawford@fao.org )
ICAO: Michiel Vreedenburgh, Chief Transformation Officer (MVreedenburgh@icao.int)
ILO: Ms. Laura Thompson, Assistant Director General, External and Corporate Relations (thompsonl@ilo.org)
UNESCO: Jennifer Linkins, Assistant Director-General for Administration and Management (j.linkins@unesco.org)
UNIDO: Ms. Cecilia Ugaz Estrada, Deputy to the Director General (C.UGAZESTRADA@unido.org) tbc
WMO: Ko Barrett, DSG (dsgo@wmo.int)
ITC:  Mr. Mondher Mimouni, Director, Division of Market Development (mimouni@intracen.org)
UN Women: Nyaradzayi Gumbonzvanda. Deputy Executive Director Normative Support, System Coordination, Programme Results (n.gumbonzvanda@unwomen.org) 
Regional Commissions: 
Ms. Thilmeeza Hussain (thilmeeza.hussain@un.org) ECA
Mr. Aboubakri Diaw  (diaw2@un.org) ECA
Mr. Paul John Ladd  (paul.ladd@un.org) ECE
Ms. Maisaa Youssef (youssef8@un.org) ESCWA
Ms. Riwa Nasreddine (nasreddine@un.org) ESCWA
Support/Advisor:  SA Reform Jens Christian Wandel, USG and Special Adviser to the Secretary-General on Reforms (jens.wandel@un.org)
In addition, invited to contribute as standing members subject to confirmation:
ILO: Ms. Laura Thompson, Assistant Director General, External and Corporate Relations (thompsonl@ilo.org)
WHO: Bruce Aylward, Senior Advisor to the Director-General (aylwardb@who.int)
UNCTAD Tbc: 
 </t>
  </si>
  <si>
    <t>EOD fully operational system-wide: expertise catalogue launched, protocols institutionalized, proven replacement of duplicative capacities.</t>
  </si>
  <si>
    <t>15.0</t>
  </si>
  <si>
    <t>904d4c8d-4c80-4591-a7b8-b33df38b95d4</t>
  </si>
  <si>
    <t>A21</t>
  </si>
  <si>
    <t>Consolidate expertise across all pillars at the regional level as an extension of the expertise-on-demand mechanism outlined in the sustainable development pillar</t>
  </si>
  <si>
    <t xml:space="preserve">ITU: Tomas Lamanauskas, Deputy Secretary-General (dsg@itu.int)
UNDP: Linda Maquire, Asst Secretary General and Director, Bureau for Management Services (linda.maguire@undp.org)
FAO:  Beth Crawford, Assistant Director-General/Director, Office of Strategy, Programme and Budget (beth.crawford@fao.org )
ICAO: Michiel Vreedenburgh, Chief Transformation Officer (MVreedenburgh@icao.int)
ILO: Ms. Laura Thompson, Assistant Director General, External and Corporate Relations (thompsonl@ilo.org)
UNESCO: Jennifer Linkins, Assistant Director-General for Administration and Management (j.linkins@unesco.org)
UNIDO: Ms. Cecilia Ugaz Estrada, Deputy to the Director General (C.UGAZESTRADA@unido.org) tbc
WMO: Ko Barrett, DSG (dsgo@wmo.int)
ITC:  Mr. Mondher Mimouni, Director, Division of Market Development (mimouni@intracen.org)
UN Women: Nyaradzayi Gumbonzvanda. Deputy Executive Director Normative Support, System Coordination, Programme Results (n.gumbonzvanda@unwomen.org) 
Regional Commissions: 
Ms. Thilmeeza Hussain (thilmeeza.hussain@un.org) ECA
Mr. Aboubakri Diaw  (diaw2@un.org) ECA
Mr. Paul John Ladd  (paul.ladd@un.org) ECE
Ms. Maisaa Youssef (youssef8@un.org) ESCWA
Ms. Riwa Nasreddine (nasreddine@un.org) ESCWA
Support/Advisor:  SA Reform Jens Christian Wandel, USG and Special Adviser to the Secretary-General on Reforms (jens.wandel@un.org)
In addition, invited to contribute as standing members subject to confirmation:
ILO: Ms. Laura Thompson, Assistant Director General, External and Corporate Relations (thompsonl@ilo.org)
WHO: Bruce Aylward, Senior Advisor to the Director-General (aylwardb@who.int)
UNCTAD Tbc: 
</t>
  </si>
  <si>
    <t>23.0</t>
  </si>
  <si>
    <t>d96e13d9-727a-4ec0-aee0-c9b4d2b5a07f</t>
  </si>
  <si>
    <t>A22</t>
  </si>
  <si>
    <t>WP9: Human rights group</t>
  </si>
  <si>
    <t>Establish a Human Rights Group comprising entities from across the UN system, led by the High Commissioner for Human Rights</t>
  </si>
  <si>
    <t>HC OHCHR</t>
  </si>
  <si>
    <t>74a80a22-72b9-4584-bb25-af27ed6d0ed3</t>
  </si>
  <si>
    <t>A23</t>
  </si>
  <si>
    <t>WP10: Senior management coordination forums</t>
  </si>
  <si>
    <t>Review top management fora to ease the coordination burden for senior leaders and ensure coherent action across pillar, incl. CEB, IASC, UNSDG, EC</t>
  </si>
  <si>
    <t>cc3b8bbb-212e-43be-9da2-2c0fcc973a65</t>
  </si>
  <si>
    <t>A24</t>
  </si>
  <si>
    <t>Consider proposals to unify administrative backend support and streamline duplicative agendas without affecting core substantive competencies</t>
  </si>
  <si>
    <t>52dc6857-c733-416e-a55e-d414e90e0d00</t>
  </si>
  <si>
    <t>A25</t>
  </si>
  <si>
    <t>Bring together all Headquarters coordination on country-specific, cross-pillar approaches to crisis prevention and centre capacities around the Regional Monthly Review platform</t>
  </si>
  <si>
    <t>f8be6931-b546-48fb-8f1a-90e1f46968b5</t>
  </si>
  <si>
    <t>A26</t>
  </si>
  <si>
    <t xml:space="preserve">Review existing interagency task forces and working groups </t>
  </si>
  <si>
    <t>4517f49b-9a20-45f6-a240-ed97b6217e3b</t>
  </si>
  <si>
    <t>A27</t>
  </si>
  <si>
    <t>WP11: Special envoy review</t>
  </si>
  <si>
    <t>Review and make proposals to Member States regarding SG’s some 30 special envoys, representatives, coordinators and advisers, both thematic and geographic</t>
  </si>
  <si>
    <t>ad2ff997-e7a8-4052-bf4f-10857483d502</t>
  </si>
  <si>
    <t>A28</t>
  </si>
  <si>
    <t>WP12: Regional integrated platforms</t>
  </si>
  <si>
    <t>Establish lean Regional Integrated Platforms to unite regional leaders across all pillars around joint plans, strategies, crisis response and resource mobilization for cross-cutting issues</t>
  </si>
  <si>
    <t>ASG DCO;DSG</t>
  </si>
  <si>
    <t>System-wide working group convened and draft Outline on regional reset to be shared with the SG for guidance, reflecting cross-pillar dimensions</t>
  </si>
  <si>
    <t>Aspects of the regional reset – including RIPs - under SG prerogative are implemented and decisions taken by Member States (Report May 2026 - TBC)</t>
  </si>
  <si>
    <t>2.0</t>
  </si>
  <si>
    <t>dc3b8c87-c1d7-45fa-b222-7262821a6f7b</t>
  </si>
  <si>
    <t>A29</t>
  </si>
  <si>
    <t xml:space="preserve">Harmonize how UN system entities organize their regional work </t>
  </si>
  <si>
    <t xml:space="preserve">This response is being taken forward under work package 6 - the regional reset and therefore has the same milestones and action members. </t>
  </si>
  <si>
    <t>24cffaaa-3eba-446e-aae6-16a0f17f5138</t>
  </si>
  <si>
    <t>A30</t>
  </si>
  <si>
    <t>WP13: Shared platform initiative</t>
  </si>
  <si>
    <t>Initiate a practical Shared Platform Initiative between DSG and ERC</t>
  </si>
  <si>
    <t>USG OCHA;DSG</t>
  </si>
  <si>
    <t xml:space="preserve">Action plan for the Shared Platform Initiative with specific timelines for immediate implementation  and progress Report to the SG summarizing next steps </t>
  </si>
  <si>
    <t xml:space="preserve">1.	Amina Mohammed, Deputy Secretary-General, amina.mohammed@un.org 
2.	Tom Fletcher, Emergency Relief Coordinator and USG OCHA, fletcher@un.org 
</t>
  </si>
  <si>
    <t xml:space="preserve">1.	Garry Conille, Special Adviser, DCO, gconille@unicef.org 
2.	Edem Wosornu, Director, Crisis Response Division, OCHA, wosornu@un.org 
3.	Jean Philippe Bernardini, Senior Political Affairs Officer, Bernardini@un.org 
</t>
  </si>
  <si>
    <t xml:space="preserve">All initiatives rolled out and implementation finalized, as country contexts required. </t>
  </si>
  <si>
    <t>f9391a1f-67e0-4722-b025-e496a65026f0</t>
  </si>
  <si>
    <t>A31</t>
  </si>
  <si>
    <t>Prepare a proposal to ensure that RC/HCs and planning teams simplify Development Cooperation Frameworks, Humanitarian Response Plans, Peacebuilding Strategies and associated needs analyses for relevant settings</t>
  </si>
  <si>
    <t>Draft of the Proposal for simplifying country-level planning process where necessary (ensuring complementarity between the planning frameworks), with PBSO</t>
  </si>
  <si>
    <t>Roll out of the simplified planning process and associated needs analysis system wide by July 2026</t>
  </si>
  <si>
    <t>47337149-b408-4432-a000-500398c8e237</t>
  </si>
  <si>
    <t>A32</t>
  </si>
  <si>
    <t>WP14: Unified services roadmap</t>
  </si>
  <si>
    <t>Prepare a Unified Services Roadmap, based on existing reform commitments and two models: some services will be provided by consolidated entities, and others through marketplaces of providers.</t>
  </si>
  <si>
    <t>Chair HLCM;ED WFP;Co-Chairs BIG</t>
  </si>
  <si>
    <t>3.0</t>
  </si>
  <si>
    <t>7a7c388f-60ab-43ba-90cf-b7120019f75c</t>
  </si>
  <si>
    <t>A33</t>
  </si>
  <si>
    <t>Integrate supply chains, taking the New Humanitarian Compact as the concrete starting point</t>
  </si>
  <si>
    <t>acac1c02-b94b-4a0d-a18e-9847444880bc</t>
  </si>
  <si>
    <t>A34</t>
  </si>
  <si>
    <t>Conduct assessment for integration of basic information and communication technology services, as well as payroll, human resources, finance, and enterprise resource planning (ERP) systems</t>
  </si>
  <si>
    <t>58a257ab-e9c9-4e75-ad8c-bb789d50dc7f</t>
  </si>
  <si>
    <t>A35</t>
  </si>
  <si>
    <t>Accelerate the move toward a unified service backbone at country level; eliminate costly duplication on the ground</t>
  </si>
  <si>
    <t>144fea0a-f1d2-4250-94ce-e61a381d2b6f</t>
  </si>
  <si>
    <t>A36</t>
  </si>
  <si>
    <t>Harmonize most indirect and programme support costs</t>
  </si>
  <si>
    <t>681c949c-4b29-47d6-af70-2839f47bb211</t>
  </si>
  <si>
    <t>A37</t>
  </si>
  <si>
    <t>WP15: Technology</t>
  </si>
  <si>
    <t>Prepare a proposal to consolidate the fragmented landscape of basic cloud services, network infrastructures, office software and systems under realigned common providers that can serve the entire UN system, building on lessons from the International Computing Centre</t>
  </si>
  <si>
    <t>USG Policy;Chair DTN;SG ITU</t>
  </si>
  <si>
    <t>7a829912-9ce7-425f-8da2-2cd9afd99448</t>
  </si>
  <si>
    <t>A38</t>
  </si>
  <si>
    <t xml:space="preserve">Develop baseline of the current innovation landscape and a proposal for a Technology Accelerator Platform (TAP) to the Chief Executives Board </t>
  </si>
  <si>
    <t>979dec43-6b83-4b4b-9a81-3219ad834f2d</t>
  </si>
  <si>
    <t>A39</t>
  </si>
  <si>
    <t>WP16: Data</t>
  </si>
  <si>
    <t>Prepare proposals for the Chief Executives Board at the end of October 2025 on how to guide phased implementation of Data Commons</t>
  </si>
  <si>
    <t>USG Policy;USG DESA;ED UNICEF</t>
  </si>
  <si>
    <t>53196679-9d32-4bc5-ae83-bafaf17b226a</t>
  </si>
  <si>
    <t>A40</t>
  </si>
  <si>
    <t>Scale pooled funding approaches for data to support the Data Commons</t>
  </si>
  <si>
    <t>270c26ce-fdd5-410f-81b7-bfa9e266e649</t>
  </si>
  <si>
    <t>A41</t>
  </si>
  <si>
    <t>Pool the know-how of data analysts, engineers, and scientists to support the UN system, the new hubs, humanitarian clusters, and country teams alike</t>
  </si>
  <si>
    <t>311f701a-adf2-4ebf-bc89-aab1de8e1e34</t>
  </si>
  <si>
    <t>A42</t>
  </si>
  <si>
    <t>WP17: Training and research</t>
  </si>
  <si>
    <t>Merge UN Staff System College (UNSSC) into the UN Institute for Training and Research (UNITAR)</t>
  </si>
  <si>
    <t>ED UNITAR;Rector UNU</t>
  </si>
  <si>
    <t>Merger roadmap agreed by UNITAR and UNSSC, incl.  needs assessment, scope, methodology, and joint plan for functional/financial mapping. Consultations launched.</t>
  </si>
  <si>
    <t xml:space="preserve">Michelle Gyles-McDonnough, Executive Director, UNITAR; GYLES-MCDONNOUGH@unitar.org </t>
  </si>
  <si>
    <t>UN System Staff College
Miguel Panadero, Acting Director; m.panadero@unssc.org 
Silke Weinlich, Deputy Director; s.weinlich@unssc.org 
UNITAR 
Marina Dinca Vasilescu, Director, Operations; Marina.VASILESCU@unitar.org 
Evariste Karambizi, Director, Division for Peace; Evariste.KARAMBIZI@unitar.org 
UN Women
Kirsi Madi, Deputy Executive Director for Resource Management, Sustainability and Partnerships; kirsi.madi@unwomen.org
ITU
Doreen Bogdan-Martin, Secretary-Generaldoreen.bogdan@itu.int
Regina Valiullina; Regina.Valiullina@itu.int); 
ITC ILO
Andreas Klemmer, Director of Training, International Training Centre of the International Labour Organization (ITC ILO); A.Klemmer@itcilo.org 
Development Coordination Office 
Oscar Fernández-Taranco, Assistant Secretary-General for Development Coordination; fernandez-taranco@un.org 
Helena Fraser, Director, Policy and Programming Branch; fraser@un.org 
Department of Operational Support 
Adrian Hills, Chief, Capacity Development and Operational Training Service; hillsa@un.org
Mohammad Jeram, Chief of Operational Training Section, CDOTS; jeram@un.org
Paola Matarazzo, Chief, Business Process &amp; Systems Support Section, CDOTS; matarazzo@un.org</t>
  </si>
  <si>
    <t>Member states decide on the proposed merger based on the submitted transition plan.</t>
  </si>
  <si>
    <t>f7b29e64-e0c1-4672-aeb6-a14776a4bc9a</t>
  </si>
  <si>
    <t>A43</t>
  </si>
  <si>
    <t>Integrate UN Research Institute for Social Development (UNRISD) into the United Nations University (UNU)</t>
  </si>
  <si>
    <t>0801fade-5a3f-450b-85bc-4f14df75528f</t>
  </si>
  <si>
    <t>A44</t>
  </si>
  <si>
    <t>Establish a Joint UN System Coordination Mechanism co-led by the UNU Rector and UNITAR Executive Director.</t>
  </si>
  <si>
    <t>Plan in place setting out scope and key considerations of the knowledge mapping exercise and entities to be engaged.</t>
  </si>
  <si>
    <t>Tshilidzi Marwala, UNU Rector, rector@unu.edu;
Michelle Gyles-McDonnough, UNITAR Executive Director, gyles-mcdonnough@unitar.org</t>
  </si>
  <si>
    <t>Jonas Haertle, Chief Office of the Executive Director UNITAR, jonas.haertle@unitar.org; 
Mihoko Kumamoto, Director Division for Prosperity UNITAR, mihoko.kumamoto@unitar.org;
Sabine Becker-Thierry, Director UNU Paris, sabine.becker@unu.edu; 
Francesco Foghetti, UNU Senior Legal Officer, foghetti@unu.edu</t>
  </si>
  <si>
    <t>Blueprint for Joint UN Coordination Machanism endorsed by SG.</t>
  </si>
  <si>
    <t>43c43cc5-daf3-486a-97e5-46bfc0293430</t>
  </si>
  <si>
    <t>A45</t>
  </si>
  <si>
    <t>WP18: Funding mechanisms</t>
  </si>
  <si>
    <t>Launch a pooled funding review, including a review of administrative agent, secretariat, governance and support cost models, as well as partnership arrangements, to ensure pooled funding is consistently cheaper and more attractive than fragmented approaches</t>
  </si>
  <si>
    <t>SA Reform;ASG DCO</t>
  </si>
  <si>
    <t>Analysis, mapping and categorization of all pooled funding and data</t>
  </si>
  <si>
    <t xml:space="preserve">Jens Wandel, USG, EOSG 
Oscar Fernandez-Taranco, ASG, DCO 
Elizabeth Spehar, ASG, PBSO
Alain Noudehou, Director, MPTFO, UNDP
Susan Brown, ASG, Director of the Bureau for External Relations and Advocacy, UNDP 
Lisa Dougthen, Director,Humanitarian Financing and Resource Mobilization, OCHA 
</t>
  </si>
  <si>
    <t xml:space="preserve">Chris Stokes, Senior Programme Managers
Fiona Bayat-Renoux, Deputy Chief of Staff, UNDP
Klaus SimioniPederson D1, Chief of our Resource Mobilization Branch, UNFPA
Alice Sequi, Chief of the Pooled Fund Branch, OCHA
-
</t>
  </si>
  <si>
    <t>All actions taken to respond to recommendations, with update published</t>
  </si>
  <si>
    <t>3359d204-c8df-4798-8c1f-8456ffc29579</t>
  </si>
  <si>
    <t>A46</t>
  </si>
  <si>
    <t>Rationalize the portfolio of pooled funds, with particular focus on the Central Emergency Response Fund, the Peacebuilding Fund, the Joint SDG Fund, and the Country-Based Pooled Funds</t>
  </si>
  <si>
    <t>All actions taken to respond to proposals, as agreed by SG and relevant governing bodies</t>
  </si>
  <si>
    <t>535b6f1c-ecbf-4a29-a048-b5085d858409</t>
  </si>
  <si>
    <t>A47</t>
  </si>
  <si>
    <t>Prepare a proposal on how core funding can become consistently cheaper and more attractive than fragmented approaches, including options to strengthen visibility for core contributors and partners</t>
  </si>
  <si>
    <t>Draft paper on strengthening the case for core funding finalized for discussion with stakeholders</t>
  </si>
  <si>
    <t xml:space="preserve">Chris Stokes, Senior Programme Managers
Fiona Bayat-Renoux, Deputy Chief of Staff, UNDP
Klaus SimioniPederson D1, Chief of our Resource Mobilization Branch, UNFPA
Alice Sequi, Chief of the Pooled Fund Branch, OCHA
</t>
  </si>
  <si>
    <t>All entities with voluntary core funding to report on steps being taken to respond to the proposal</t>
  </si>
  <si>
    <t>a7ab49f0-1257-49c3-a514-2fe6bf1287d5</t>
  </si>
  <si>
    <t>A48</t>
  </si>
  <si>
    <t>Map existing Funding Compact review mechanisms and integrate discussion into a system-wide management mechanism at least once per year</t>
  </si>
  <si>
    <t>Mapping of Funding Compact dialogues at country level and in governing bodies complete.</t>
  </si>
  <si>
    <t>Final mapping and recommendations for integrating discussions to be complete.</t>
  </si>
  <si>
    <t>c062af53-d55b-48e4-95d0-7f5f85f73898</t>
  </si>
  <si>
    <t>A49</t>
  </si>
  <si>
    <t>WP19: Mandate creation support</t>
  </si>
  <si>
    <t>Prepare an action plan to improve staff support to Member State during mandate creation, based on mapping of existing capacities per mandating bodies and Member State priorities</t>
  </si>
  <si>
    <t>USG Policy;USG DGACM</t>
  </si>
  <si>
    <t>3387f472-7bd0-4177-bdb7-7412b13ecd10</t>
  </si>
  <si>
    <t>A50</t>
  </si>
  <si>
    <t>Prepare an action plan (as part of item 80) to Strengthen support by UN entities to coordinate and promote greater visibility across mandating bodies</t>
  </si>
  <si>
    <t>91eaa9dd-3c54-48ee-9733-c40d84ff19cf</t>
  </si>
  <si>
    <t>A51</t>
  </si>
  <si>
    <t>Prepare an action plan to complement the estimates of programme budget implications (PBI) for new mandates with additional info related to activities across the UN System</t>
  </si>
  <si>
    <t>f991f37b-e4a0-48c1-aa93-885053e4ce92</t>
  </si>
  <si>
    <t>A52</t>
  </si>
  <si>
    <t>WP20: UN budget / programme management</t>
  </si>
  <si>
    <t>Develop action plan to strengthen internal strategic oversight of the UN system division of labour at all levels to ensure effective, efficient programmatic and operational support, building on existing reforms</t>
  </si>
  <si>
    <t>CDC</t>
  </si>
  <si>
    <t>c38cbb5b-4507-487d-b50d-2353bcdb7f62</t>
  </si>
  <si>
    <t>A53</t>
  </si>
  <si>
    <t xml:space="preserve">As part of the standard budget guidance process, develop an action plan to ensure UN entities systematically review mandate citations in their programmes, incl. based on comparative advantage </t>
  </si>
  <si>
    <t>7aa67e4e-482c-474c-b4a7-5ebbf7821b83</t>
  </si>
  <si>
    <t>A54</t>
  </si>
  <si>
    <t xml:space="preserve">Prepare proposals by the SG as per Rule 105.6 of ST/SGB/2018/3 for the “GA, with justification, a list of outputs from the previous period which, in the judgement of the SG, can be discontinued” </t>
  </si>
  <si>
    <t>803545fc-59ff-4b29-918b-78c7ffcad19d</t>
  </si>
  <si>
    <t>A55</t>
  </si>
  <si>
    <t>WP21: System-wide results management</t>
  </si>
  <si>
    <t>Develop an action plan to strengthen and harmonize management for results mechanisms across the UN system, including how results are measured and communicated</t>
  </si>
  <si>
    <t>SA Reform</t>
  </si>
  <si>
    <t>Draft Concept Paper establishing the intellectual foundation for the proposed Action Plan including communication of systemwide results.</t>
  </si>
  <si>
    <t xml:space="preserve">Jens Wandel, SA, EOSG 
Fatoumata Ndiay, USG, OIOS
Doreen Bogdan-Martin , USG, ITU 
Francine Pickup, Deputy Director of the Bureau for Policy and Programme </t>
  </si>
  <si>
    <t xml:space="preserve">Catalin Marinescu, Head of Strategy and Planning Division, ITU
Clarice Wilson, Director of the UNDP Corporate Performance Unit
Piyoo Kochar, Specialist, BTAD, UN
UN Strategic Planning Network (UNSPN) and Finance and Budget Network under HLCM. </t>
  </si>
  <si>
    <t xml:space="preserve">Final Action Plan outlining an implementable system-wide pathway for a Results based management mechanism/ communication standards. </t>
  </si>
  <si>
    <t>62d345b3-df80-45d0-87d6-25d87a1499d1</t>
  </si>
  <si>
    <t>A56</t>
  </si>
  <si>
    <t>WP22: Prevention, peacebuilding, peace support</t>
  </si>
  <si>
    <t>Establish a unified Peacebuilding and Peace Support Office (one ASG to be abolished)</t>
  </si>
  <si>
    <t>b0b472bf-b78d-408d-9884-683492f92b6c</t>
  </si>
  <si>
    <t>A57</t>
  </si>
  <si>
    <t>Establish a single centre of excellence on Women, Peace and Security, bringing together the DPPA and DPO gender units</t>
  </si>
  <si>
    <t>b38b2085-c112-4e68-ad32-2d4539783eb8</t>
  </si>
  <si>
    <t>A58</t>
  </si>
  <si>
    <t>Establish mechanisms – including joint strategies and programmes – to link cross-cutting functions (incl. expertise in data analytics, digital and artificial intelligence)</t>
  </si>
  <si>
    <t>8b4a9d4f-d24c-4ef0-b821-6d85eae50ce6</t>
  </si>
  <si>
    <t>A59</t>
  </si>
  <si>
    <t>Consolidate two Assistant Secretary-General posts for the Americas, Europe, Asia-Pacific, Middle East into one</t>
  </si>
  <si>
    <t>e9f0faad-9d41-41ee-b405-10195008cfc1</t>
  </si>
  <si>
    <t>A60</t>
  </si>
  <si>
    <t>Combine the Western and Northern Africa divisions</t>
  </si>
  <si>
    <t>bbb59de3-d5d9-4846-92ce-6ba3f763bbf3</t>
  </si>
  <si>
    <t>A61</t>
  </si>
  <si>
    <t>Integrate the UN Mission to Support the Hudaydah Agreement into the Office of the Special Envoy for Yemen</t>
  </si>
  <si>
    <t>3f45561d-3667-4df0-9f54-d0ad74330d75</t>
  </si>
  <si>
    <t>A62</t>
  </si>
  <si>
    <t>Streamline and align the UN Office for Central Africa (UNOCA) and the Office of the Special Envoy for the Great Lakes</t>
  </si>
  <si>
    <t>d4f7e2af-275c-4006-8378-63f1514a07c2</t>
  </si>
  <si>
    <t>A63</t>
  </si>
  <si>
    <t xml:space="preserve">Streamline and align the Office of the Special Adviser for Cyprus with the UN Peacekeeping Force in Cyprus (UNFICYP) </t>
  </si>
  <si>
    <t>b4732ccb-7c32-4cd8-9c63-3378dcd5c7be</t>
  </si>
  <si>
    <t>A64</t>
  </si>
  <si>
    <t>Rationalize the Office of the United Nations Representative to the Geneva International Discussions (UNRGID)</t>
  </si>
  <si>
    <t>102dc6de-40d4-4174-aea8-37bc653fcc73</t>
  </si>
  <si>
    <t>A65</t>
  </si>
  <si>
    <t xml:space="preserve">Host regional peace and development advisers in Regional Commissions </t>
  </si>
  <si>
    <t>521b7388-e478-4fb9-a56e-461d4762bfc8</t>
  </si>
  <si>
    <t>A66</t>
  </si>
  <si>
    <t>Begin co-locating special political missions with a regional focus and regional peace and development advisers with Regional Commissions serving as physical hosts (or remote participation)</t>
  </si>
  <si>
    <t>acc77a1b-6d81-42b5-8d4b-892ed6777df2</t>
  </si>
  <si>
    <t>A67</t>
  </si>
  <si>
    <t>Align surge capacity for peace and security, rule of law, disarmament, demobilization and reintegration, security sector reform, small arms control, mission transitions, prevention of extremist violence, and counterterrorism to support regional needs. </t>
  </si>
  <si>
    <t>299d9815-6bd8-464c-8a25-07fe33b567f9</t>
  </si>
  <si>
    <t>A68</t>
  </si>
  <si>
    <t>Integrate peace and development advisory support in all relevant Resident Coordinator Offices to ensure conflict risks are integrated into common country analyses</t>
  </si>
  <si>
    <t>8b856cda-37e9-4758-8102-f0be7e85d7cc</t>
  </si>
  <si>
    <t>A69</t>
  </si>
  <si>
    <t>WP23: Disarmament</t>
  </si>
  <si>
    <t xml:space="preserve">Integrate the UN Institute for Disarmament Research (UNIDIR) into the Office for Disarmament Affairs (ODA) </t>
  </si>
  <si>
    <t>USG ODA</t>
  </si>
  <si>
    <t>cc760318-c070-489a-a976-06a5c79a3037</t>
  </si>
  <si>
    <t>A70</t>
  </si>
  <si>
    <t>Begin co-locating regional disarmament centres, with Regional Commissions serving as physical hosts</t>
  </si>
  <si>
    <t>0d60704c-a045-4481-9fc3-5d01ccf2572f</t>
  </si>
  <si>
    <t>A71</t>
  </si>
  <si>
    <t>WP24: Drugs, crime, counterterrorism</t>
  </si>
  <si>
    <t>Integrate the UN Interregional Crime and Justice Research Institute (UNICRI) into the UN Office on Drugs and Crime (UNODC)</t>
  </si>
  <si>
    <t>USG UNODC;USG OCT</t>
  </si>
  <si>
    <t>Concept note developed</t>
  </si>
  <si>
    <t xml:space="preserve">John Brandolino; Acting Executive Director, UNODC; john.brandolino@un.org                      </t>
  </si>
  <si>
    <t>Candice Welsch; Director for Policy and Public Affairs, UNODC; candice.welsch@un.org</t>
  </si>
  <si>
    <t>ECOSOC resolution adopted</t>
  </si>
  <si>
    <t>22398f06-76cb-4413-a492-e820dd150289</t>
  </si>
  <si>
    <t>A72</t>
  </si>
  <si>
    <t>Reinforce cooperation on counterterrorism and violent extremism, with clearer reporting lines, joint planning, and resource mobilization.</t>
  </si>
  <si>
    <t>By 31 January UNOCT will have circulated an options paper for the consideration of teh Global Counter-Terrorism Coordination Compact Committee.</t>
  </si>
  <si>
    <t>Mr. Alexandre Zouev, Acting Under-Secretary-General, UNOCT, alexandre.zouev@un.org</t>
  </si>
  <si>
    <t xml:space="preserve">Mr. Eihab Omaish, Director for Policy and Coordination, UNOCT, omaish@un.org 
Mr. Mauro Miedico, Director for Capacity Building, UNOCT, mauro.miedico@un.org 
</t>
  </si>
  <si>
    <t>By 30 June 2026, the Global Counter-Terrorism Coordination Compact Committee will have taken a decision and collectively committed to specific measures.</t>
  </si>
  <si>
    <t>2f945adb-fe92-42bd-83b8-2504a5da5d27</t>
  </si>
  <si>
    <t>A73</t>
  </si>
  <si>
    <t>The Director overseeing the UNODC Terrorism Prevention Branch would also report to the Under-Secretary-General for Counter-Terrorism.</t>
  </si>
  <si>
    <t>By 31 January 2026, Action Members (principals) meet at least two times to discuss ideas.</t>
  </si>
  <si>
    <t>Mr. Eihab Omaish, Director for Policy and Coordination, UNOCT, omaish@un.org 
Mr. Mauro Miedico, Director for Capacity Building, UNOCT, mauro.miedico@un.org
Ms. Oguljeren Niyazberdiyeva, Chief, Officer of the Under-Secretary-General, UNOCT, niyazberdiyeva@un.org
Mr. Mehdi Knani, Chief of Section, Front Office/OUSG, UNOCT, mehdi.knani@un.org
Ms. Tamara Anderson, Chief of Section, Policy, Knowledge and Coordination Branch, UNOCT, andersont@un.org</t>
  </si>
  <si>
    <t>By 31 March 2026, the Director overseeing the UNODC Terrorism Prevention Branch would also report to the Under-Secretary-General for Counter-Terrorism.</t>
  </si>
  <si>
    <t>1a2a8946-c6ae-4992-a3b1-6f665f02ff7f</t>
  </si>
  <si>
    <t>A74</t>
  </si>
  <si>
    <t>WP25: UNAIDS</t>
  </si>
  <si>
    <t>Sunset UNAIDS; mainstreaming capacity and expertise into relevant entities of the UN development system</t>
  </si>
  <si>
    <t>DSG;ED UNAIDS</t>
  </si>
  <si>
    <t>UNAIDS Board agrees process for delivering a final plan for full transformation of UNAIDS that is aligned with UN80;  AIDS Strategy adopted</t>
  </si>
  <si>
    <t>Winnie Byanyima, USG, Executive Director, UNAIDS, byanyimaw@unaids.org</t>
  </si>
  <si>
    <t>Mahesh Mahalingam, Chief of Staff, maheshm@unaids.org
Morten Ussing, Director, Governance, ussingm@unaids.org
Christine Stegling, ASG, Deputy Executive Director, steglingc@unaids.org</t>
  </si>
  <si>
    <t>UNAIDS Board approves final transformation plan.</t>
  </si>
  <si>
    <t>5e6f0c7c-65e8-4b08-804d-b7850d8eeda3</t>
  </si>
  <si>
    <t>A75</t>
  </si>
  <si>
    <t>WP26: Other merger review</t>
  </si>
  <si>
    <t>Provide support for further analysis on other potential mergers Member States may wish to explore</t>
  </si>
  <si>
    <t>SG</t>
  </si>
  <si>
    <t>27.0</t>
  </si>
  <si>
    <t>412937fe-2b81-45ce-9a92-80aac66b84c7</t>
  </si>
  <si>
    <t>A76</t>
  </si>
  <si>
    <t>WP27: Environment</t>
  </si>
  <si>
    <t>Undertake a thorough assessment of current arrangements and make proposals on possible structural changes and programme realignments on environmental issues</t>
  </si>
  <si>
    <t>USG UNEP;ES UNFCCC</t>
  </si>
  <si>
    <t>Terms of reference of the assessment finalized, including scope, methodology, timeline and specific outcomes.</t>
  </si>
  <si>
    <t xml:space="preserve">UNDP (development) TBC
OHCHR (human rights) TBC
DPPA/ PBSO (peace &amp; Security) TBC
UNCTAD (trade, minerals) (development secretariat)  TBC
IFAD (specialized agencies) TBC
</t>
  </si>
  <si>
    <t>UNEP
Ligia Noronha, ASG and Head of the NYO, ligia.noronha@un.org
Rafael Peralta, Regional Director for North America, peralta@un.org
UNFCCC	
Daniele Violetti, Senior Director, Programmes Coordination, dvioletti@unfccc.int
James Grabert, Director, Mitigation, JGrabert@unfccc.int</t>
  </si>
  <si>
    <t>Assessment to reinforce environmental science,strengthen coordination on environment, joint knowledge integration hubs &amp; possible strategic alignments completed</t>
  </si>
  <si>
    <t>f1c41b45-5958-4132-8228-3d25d1ed2689</t>
  </si>
  <si>
    <t>A77</t>
  </si>
  <si>
    <t>WP28: Other UN Secretariat development realignments</t>
  </si>
  <si>
    <t>Realign macroeconomic analysis capacities across DESA, UNCTAD, and the Regional Commissions to create a unified "single entry point" for Member States, anchored in joint mechanisms</t>
  </si>
  <si>
    <t>USG DESA;ES ECA;SG UNCTAD</t>
  </si>
  <si>
    <t>88dce2ee-7a28-4014-a628-1fcfa48e6783</t>
  </si>
  <si>
    <t>A78</t>
  </si>
  <si>
    <t>Realign UN Secretariat support for LDCs, LLDCs and SIDS across DESA, UNCTAD and OHRLLS</t>
  </si>
  <si>
    <t>effe4af8-16cb-4bfc-be6b-447a74ba5097</t>
  </si>
  <si>
    <t>A79</t>
  </si>
  <si>
    <t>Abolish the Special Coordinator for Development in the Sahel post and its associated office (functions and responsibilities are absorbed and performed by existing entities)</t>
  </si>
  <si>
    <t>188cf458-3dcf-436f-be6a-36cd85b5584e</t>
  </si>
  <si>
    <t>A80</t>
  </si>
  <si>
    <t>WP29: Mandate registries and tools</t>
  </si>
  <si>
    <t>For the UN Secretariat, refine mandates.un.org to serve as sustainable registry; Other entities to build out similar registries for their mandating bodies</t>
  </si>
  <si>
    <t>eef58e84-edfc-4ed7-b3e3-1a2792ea0a1b</t>
  </si>
  <si>
    <t>A81</t>
  </si>
  <si>
    <t>Develop tools to assist in research for mandate creation</t>
  </si>
  <si>
    <t>561df0b6-35b8-4704-8d1c-2bc04469468a</t>
  </si>
  <si>
    <t>A82</t>
  </si>
  <si>
    <t>WP30: SG reports</t>
  </si>
  <si>
    <t>Assess trends in word-limit compliance and develop an action plan for improvements (as part of item 86)</t>
  </si>
  <si>
    <t>89ad93be-2dbc-490a-a9fd-4ea9ae20865f</t>
  </si>
  <si>
    <t>A83</t>
  </si>
  <si>
    <t>Assess trends and patterns in report overlap and fragmentation, and develop an action plan for improvement (as part of item 86)</t>
  </si>
  <si>
    <t>b7e88b72-f1c4-4d46-87b3-ebdc70359b22</t>
  </si>
  <si>
    <t>A84</t>
  </si>
  <si>
    <t>Constitute a cross-departmental working group to develop an action plan for improvements in reporting format options for different types of information requests</t>
  </si>
  <si>
    <t>1c420c13-6b4d-4049-99ed-3a6e20fcd0be</t>
  </si>
  <si>
    <t>A85</t>
  </si>
  <si>
    <t>Display per-report download counts on UN ODS and UN Digital Library pages for each document</t>
  </si>
  <si>
    <t>784b15b1-5451-4910-b074-d49cf1006e16</t>
  </si>
  <si>
    <t>A86</t>
  </si>
  <si>
    <t>WP31: UN Secretariat efficiencies and improvement</t>
  </si>
  <si>
    <t>Implement residual actions from Phase I of the Working Group on Efficiencies, as per Rev. estimates for programme budget 2026 and support account for 25/26, not included in or relevant for WP#14</t>
  </si>
  <si>
    <t>USG DMSPC;USG DOS</t>
  </si>
  <si>
    <t xml:space="preserve">Common Administrative Platform (CAP) in New York established with initial operating capacity and all Executive Office personnel reporting to DOS. </t>
  </si>
  <si>
    <t>Catherine Pollard, pollardc@un.org; Atul Khare, khare@un.org</t>
  </si>
  <si>
    <t>Patrick Carey, Director, careyp@un.org</t>
  </si>
  <si>
    <t>CAP fully operational in /New York. Expansion to additional locations to be undertaken in Phase II.</t>
  </si>
  <si>
    <t>972c4ad6-e7d1-45f4-8464-d35437fd8531</t>
  </si>
  <si>
    <t>A87</t>
  </si>
  <si>
    <t>Implement residual actions from Phase II of the Working Group on Efficiencies, not to be included in or relevant for WP#14</t>
  </si>
  <si>
    <t>1ea3bc40-4d71-4b43-8b61-5c6401789136</t>
  </si>
  <si>
    <t>103422ce-db87-48df-afa1-0b9fce4307dc</t>
  </si>
  <si>
    <t>29f41f3f-5cd0-4473-a16e-120d9fa744eb</t>
  </si>
  <si>
    <t>3a2955d5-97fa-4791-9291-5f03880e977b</t>
  </si>
  <si>
    <t>290053a7-5973-4542-b1f5-bab5197a4f04</t>
  </si>
  <si>
    <t>WP No.</t>
  </si>
  <si>
    <t>Action No</t>
  </si>
  <si>
    <t>ActionEntity(s)</t>
  </si>
  <si>
    <t>Sense-checked</t>
  </si>
  <si>
    <t>Notes</t>
  </si>
  <si>
    <t xml:space="preserve">Delegate relevant programmatic tasks such as rule of law, governance and child protection – and the associated resources – to UN system entities best equipped to deliver them.
</t>
  </si>
  <si>
    <t>Rosemary DiCarlo, USG DPPA, rosemary.dicarlo@un.org;
Jean-Pierre Lacroix, USG DPO, jean-pierre.lacroix@un.org
USGs DPPA and DPO, Rosemary DiCarlo and Jean-Pierre Lacroix, with participation from UNDP, OCHA, DCO, OHCHR, PBSO, OROLSI, UNICEF, UN Women, and the SRSGs CAAC and SVC</t>
  </si>
  <si>
    <t>David Haeri, Director DPET, DPO, haeri@un.org;
Asif Khan, Director PMD, DPPA, khan34@un.org</t>
  </si>
  <si>
    <t>DPPA;DPO</t>
  </si>
  <si>
    <t xml:space="preserve">	First discussion held.</t>
  </si>
  <si>
    <t>Clarification on delegation of relevant programmatic tasks.</t>
  </si>
  <si>
    <t>Confirmation needed</t>
  </si>
  <si>
    <t>Confirmation on standing members; align on ambition between milestone and report proposal; notes on PPB submission end of February.</t>
  </si>
  <si>
    <t>Present comprehensive proposal for the reset of peace operations to Member States upon conclusion of the review mandated by the Pact for the Future.</t>
  </si>
  <si>
    <t>Rosemary DiCarlo, USG DPPA, rosemary.dicarlo@un.org;
Jean-Pierre Lacroix, USG DPO, jean-pierre.lacroix@un.org</t>
  </si>
  <si>
    <t>Review of the future of peace operations completed.</t>
  </si>
  <si>
    <t>Confirmation on standing members; align on ambition between milestone and report proposal; notes on proposals after review and PPB submission end of February.</t>
  </si>
  <si>
    <t>Tom Fletcher, Under-Secretary-General for Humanitarian Affairs and Emergency Relief Coordinator (OCHA) - fletcher@un.org</t>
  </si>
  <si>
    <t xml:space="preserve">Hansjoerg Strohmeyer, Policy Director, OCHA - strohmeyerh@un.org
</t>
  </si>
  <si>
    <t>OCHA</t>
  </si>
  <si>
    <t>Milestones and timeline missing</t>
  </si>
  <si>
    <t xml:space="preserve">Tom Fletcher, Under-Secretary-General for Humanitarian Affairs and Emergency Relief Coordinator (OCHA) - fletcher@un.org
Catherine Russell, Executive Director, UNICEF - crussell@unicef.org
Cindy McCain, Executive Director, World Food Programme (WFP) - cindy.mccain@wfp.org
Atul Khare, Under-Secretary-General for Operational Support (UN-DOS) - khare@un.org
</t>
  </si>
  <si>
    <t xml:space="preserve">Hansjoerg Strohmeyer, Policy Director, OCHA - strohmeyerh@un.org
AnneMarie Van Den Berg, Assistant-Secretary-General, Office of Supply Chain Management (OSCM), DOS - vandenberga@un.org
Corinne Fleischer, Director, Supply Chain, WFP - Corinne.fleischer@wfp.org
Leila Gharagozloo Pakkala, Director, Supply Divisions, UNICEF - lpakkala@unicef.org
</t>
  </si>
  <si>
    <t>OCHA;UNICEF;WFP;DOS</t>
  </si>
  <si>
    <t>Interagency supply chain pilot design endorsed, and starter locations agreed</t>
  </si>
  <si>
    <t>Integrated UN supply chain operational across agencies, with joint procurement and shared logistics in starter countries, improving speed and cost</t>
  </si>
  <si>
    <t>Attention to timeline</t>
  </si>
  <si>
    <t>Consider final timeline earlier than December</t>
  </si>
  <si>
    <t xml:space="preserve">Tom Fletcher, Under-Secretary-General for Humanitarian Affairs and Emergency Relief Coordinator (OCHA) - fletcher@un.org
Filippo Grandi, United Nations High Commissioner for Refugees (UNHCR) - grandi@unhcr.org
Cindy McCain, Executive Director, World Food Programme (WFP) - cindy.mccain@wfp.org
</t>
  </si>
  <si>
    <t>Hansjoerg Strohmeyer, Policy Director, OCHA - strohmeyerh@un.org
Kelly Tallman Clements - Deputy High Commissioner for Refugees, UNHCR - clements@unhcr.org
Carl Skau, Deputy Executive Director and Chief Operating Officer, World Food Programme (WFP) - carl.skau@wfp.org</t>
  </si>
  <si>
    <t>OCHA;UNHCR;WFP</t>
  </si>
  <si>
    <t>Initial package of priority common services identified, drawing on existing practices (e.g. fleet, booking, engineering, security/emergency mgmt</t>
  </si>
  <si>
    <t>Priority common services expanded across several contexts with multiple agencies, with a review demonstrating clearer and more efficient shared delivery</t>
  </si>
  <si>
    <t>Tom Fletcher, Under-Secretary-General for Humanitarian Affairs and Emergency Relief Coordinator (OCHA), fletcher@un.org
Filippo Grandi, United Nations High Commissioner for Refugees (UNHCR) - grandi@unhcr.org
Catherine Russell, Executive Director, UNICEF - crussell@unicef.org
Cindy McCain, Executive Director, World Food Programme (WFP) - cindy.mccain@wfp.org
Amy Pope, Director General, International Organization for Migration (IOM) - dg@iom.int</t>
  </si>
  <si>
    <t xml:space="preserve">Hansjoerg Strohmeyer, Policy Director, OCHA - strohmeyerh@un.org
Jean-Martin Bauer, Director, Assessments, Planning, Policy and Research, WFP - jean-martin.bauer@wfp.org
</t>
  </si>
  <si>
    <t>OCHA;UNHCR;UNICEF;WFP;IOM</t>
  </si>
  <si>
    <t>Humanitarian Cluster Data Workplan agreed, with quick wins, starter countries, governance options and a joint data-sharing ambition.</t>
  </si>
  <si>
    <t>Humanitarian Data Collaborative established, scaling platforms, financing and shared capacities and standards.</t>
  </si>
  <si>
    <t xml:space="preserve">Tom Fletcher, Under-Secretary-General for Humanitarian Affairs and Emergency Relief Coordinator (OCHA) - fletcher@un.org
Filippo Grandi, United Nations High Commissioner for Refugees (UNHCR) - grandi@unhcr.org
Catherine Russell, Executive Director, UNICEF - crussell@unicef.org
Cindy McCain, Executive Director, World Food Programme (WFP) - cindy.mccain@wfp.org
Amy Pope, Director General, International Organization for Migration (IOM) - dg@iom.int
</t>
  </si>
  <si>
    <t xml:space="preserve">Hansjoerg Strohmeyer, Policy Director, OCHA - strohmeyerh@un.org
Fredrick Lee-Ohlsson, Director, OED-DIP, WFP - fredrick.lee-ohlsson@wfp.org
Ted Chaiban, Deputy Executive Director, UNICEF - tchaiban@unicef.org
Ugochi Daniels, Deputy Director General for Operations, International Organization for Migration (IOM) - udaniels@iom.int
Shahrzad Tadjbakhsh, Director, Division of International Protection, UNHCR - tadjbakh@unhcr.org
</t>
  </si>
  <si>
    <t>Principals’ Humanitarian Diplomacy mechanism launched, with agreed priorities, meeting cadence, and initial crisis list identified</t>
  </si>
  <si>
    <t>Collab. humanitarian diplomacy functioning system-wide with coordinated messaging, shared strategies and clear impact in priority crises</t>
  </si>
  <si>
    <t>Rania DAGASH-KAMARA, Assistant Executive Director Partnerships and Innovation - rania.dagash@wfp.org</t>
  </si>
  <si>
    <t>Laura Turner, Deputy Director of Emergency Coordination, WFP - Laura.Turner@wfp.org
Hansjoerg Strohmeyer, Policy Director, OCHA - strohmeyerh@un.org</t>
  </si>
  <si>
    <t>WFP</t>
  </si>
  <si>
    <t>RBAs agree on a light, practical approach for more coherent work 			in fragile settings, clarifying complementary roles, choosing 				small number of priority countries</t>
  </si>
  <si>
    <t>In priority contexts, RBAs show clearer alignment in practice, 				with better sequencing and less duplication, and share a short 				lessons note with UN80 bodies</t>
  </si>
  <si>
    <t>Confirmation on standing members; consider final timeline earlier than December</t>
  </si>
  <si>
    <t xml:space="preserve">Filippo Grandi, United Nations High Commissioner for Refugees (UNHCR) - grandi@unhcr.org
Amy Pope, Director General, International Organization for Migration (IOM) - dg@iom.int
</t>
  </si>
  <si>
    <t>Shahrzad Tadjbakhsh, Director, Division of International Protection, UNHCR - tadjbakh@unhcr.org
Ugochi Daniels, Deputy Director General for Operations, IOM - udaniels@iom.int
Hansjoerg Strohmeyer, Policy Director, OCHA - strohmeyerh@un.org</t>
  </si>
  <si>
    <t>UNHCR;IOM</t>
  </si>
  <si>
    <t>UNHCR and IOM select 2-3 contexts needing clearer roles on 				mixed movements and agree on a light, context-specific approach 			to improve complementarity</t>
  </si>
  <si>
    <t>In those contexts, UNHCR and IOM show better complementarity on mixed movements – clearer roles, fewer parallels, better sequencing – and share lessons with UN80</t>
  </si>
  <si>
    <t>Consider final timeline earlier than December; confirmation on milestone definitions</t>
  </si>
  <si>
    <t xml:space="preserve">Filippo Grandi, United Nations High Commissioner for Refugees (UNHCR) - grandi@unhcr.org
Amy Pope, Director General, International Organization for Migration (IOM) - dg@iom.int
Catherine Russell, Executive Director, UNICEF - crussell@unicef.org
Cindy McCain, Executive Director, World Food Programme (WFP) - cindy.mccain@wfp.org
</t>
  </si>
  <si>
    <t>Ryan Beech, WFP - Ryan.Beech@wfp.org
Hansjoerg Strohmeyer, Policy Director, OCHA - strohmeyerh@un.org
UNICEF/IOM/HCR - To Be Confirmed</t>
  </si>
  <si>
    <t>UNHCR;IOM;UNICEF;WFP</t>
  </si>
  <si>
    <t>Agencies endorse shared principles for beneficiary-data alignment and identify 1-2 contexts for early interoperability pilots across HOPE, PRIMES, SCOPE, BRAVE</t>
  </si>
  <si>
    <t>Early pilots show less duplication and better interoperability 				across beneficiary-data systems, with a short lessons-learned 			note shared with UN80 bodies</t>
  </si>
  <si>
    <t xml:space="preserve">Catherine Russell, Executive Director, UNICEF - crussell@unicef.org
Cindy McCain, Executive Director, World Food Programme (WFP) - cindy.mccain@wfp.org
</t>
  </si>
  <si>
    <t>Ted Chaiban, Deputy Executive Director, UNICEF - tchaiban@unicef.org
Ilaria Dettori, Director, Nutrition Services, WFP - ilaria.dettori@wfp.org
Hansjoerg Strohmeyer, Policy Director, OCHA - strohmeyerh@un.org
WHO - To Be Confirmed</t>
  </si>
  <si>
    <t>UNICEF;WFP</t>
  </si>
  <si>
    <t>Dedication discussion held with relevant agencies, with initial 				parameters agreed</t>
  </si>
  <si>
    <t>Clearly defined roles and responsibilities, with information 				disseminated at the field level and with Member States and Nutrition cluster partners</t>
  </si>
  <si>
    <t xml:space="preserve">Amina Mohammed, DSG, amina.mohammed@un.org;
Jorge Moreira Da Silva, USG UNOPS, jorge.moreiradasilva@unops.org;
Alexander de Croo, USG UNDP, alexander.de.croo@undp.org 
</t>
  </si>
  <si>
    <t xml:space="preserve">Sonja Leighton-Kone, ASG, UNOPS, sonjalk@unops.org;
Linda Maguire, ASG, UNDP,  linda.maguire@undp.org;
Rahul Malhotra, Director New York Office, UNOPS, rahulm@unops.org;
Fiona Bayat-Renoux, Deputy Chief of Staff, UNDP, Fiona.bayat-renoux@undp.org;
Jean-Philippe Bernardini, Senior Political Affairs Officer, EOSG, Bernardini@un.org 
</t>
  </si>
  <si>
    <t>EOSG (ODSG);UNDP;UNOPS</t>
  </si>
  <si>
    <t>Draft initial assessment analysis of the ‘as is’ with high level merger options, pros, cons, risk analysis for internal consultations completed</t>
  </si>
  <si>
    <t>Finalized</t>
  </si>
  <si>
    <t xml:space="preserve">Amina Mohammed, DSG, Amina.mohammed@un.org;
Sima Bahous, Executive Director, UN Women sima.bahous@unwomen.org;
Diene Keita, Executive Director, UNFPA, Keita@unfpa.org </t>
  </si>
  <si>
    <t>Jean Philippe Bernardini, Senior Political Affairs Officer, EOSG, bernardini@un.org; Sam Choritz, Chief of Staff, UNFPA, choritz@unfpa.org; Mohammad Naciri, Chief of Staff, UN Women, mohammad.naciri@unwomen.org</t>
  </si>
  <si>
    <t>EOSG (ODSG);UN Women;UNFPA</t>
  </si>
  <si>
    <t>Strategic merger assessment completed for internal consultations, including risk/benefit considerations</t>
  </si>
  <si>
    <t>Jean Philippe Bernardini, Senior Political Affairs Officer, bernardini@un.org;
Sam Choritz, Chief of Staff, UNFPA, choritz@unfpa.org;
Mohammad Naciri, Chief of Staff, UN Women, mohammad.naciri@unwomen.org</t>
  </si>
  <si>
    <t xml:space="preserve">Options for optimization of the UN’s work on population statistics and related activities finalized for Secretary-General's consideration and integrated in merger analysis </t>
  </si>
  <si>
    <t>A final assessment integrated into the UN Women/UNFPA merger process, as per timelines above</t>
  </si>
  <si>
    <t xml:space="preserve">Amina J. Mohammed, DSG, Amina.mohammed@un.org;
Jorge Moreira Da Silva, USG UNOPS, jorge.moreiradasilva@unops.org
</t>
  </si>
  <si>
    <t xml:space="preserve">Rahul Malhorta, Director, UNOPS, rahulm@unops.org;
Jean Philippe Bernardini, Senior Political Affairs Officer, EOSG, bernardini@un.org
</t>
  </si>
  <si>
    <t>EOSG (ODSG);UNOPS</t>
  </si>
  <si>
    <t>Outline of the draft proposals presented to the Secretary-General for guidance</t>
  </si>
  <si>
    <t>Member States taken action/decided on final set of proposals presented by the Secretary-General (report finalized by 31 May 2026 – TBC, depend on UN80 next reporting cycle)</t>
  </si>
  <si>
    <t xml:space="preserve">Amina J. Mohammed, DSG, Amina.mohammed@un.org;
Oscar Fernandez-Taranco, ASG DCO, fernandez-taranco@un.org
</t>
  </si>
  <si>
    <t>Jean Philippe Bernardini, Senior Political Affairs Officer, EOSG, bernardini@un.org</t>
  </si>
  <si>
    <t>EOSG (ODSG);DCO</t>
  </si>
  <si>
    <t>The parameters for the recalibration of the RC system defined and being consulted with Member States (e.g., change in DCO structure, more tailored approach)</t>
  </si>
  <si>
    <t>All measures to recalibrate the RC system (DCO 2.0) implemented and a decision to enhance the funding model of the RC system successfully tabled in the General Assembly</t>
  </si>
  <si>
    <t xml:space="preserve">Amina J. Mohammed, DSG, Amina.mohammed@un.org;
Izumi Nakamitsu, USG ODA, nakamitsu@un.org
</t>
  </si>
  <si>
    <t>EOSG (ODSG);ODA</t>
  </si>
  <si>
    <t>System-wide working group convened and draft outline finalized and shared with the Secretary-General for guidance</t>
  </si>
  <si>
    <t>All aspects of the regional reset under SG prerogative implemented and decisions taken by Member States on aspects requiring new mandates (report May 2026 - TBC, depend on UN80 next reporting cycle)</t>
  </si>
  <si>
    <t xml:space="preserve">Amina J. Mohammed, DSG, Amina.mohammed@un.org;
Izumi Nakamitsu, USG ODA, nakamitsu@un.org;
Oscar Fernandez Taranco, ASG DCO, fernandez-taranco@un.org </t>
  </si>
  <si>
    <t xml:space="preserve">Jean Philippe Bernardini, Senior Political Affairs Officer, EOSG, bernardini@un.org;
Nadia Hadi, Chief of Staff, DCO, hadin@un.org;
Thilmeeza Hussain, Director, Regional Commission Office,  thilmeeza.hussain@un.org  </t>
  </si>
  <si>
    <t>EOSG (ODSG);ODA;DCO</t>
  </si>
  <si>
    <t>Develop initial proposals for co-hosting for further consultation, taking into consideration the unique regional needs and contexts</t>
  </si>
  <si>
    <t>Relocation of respective offices to be hosted by RECs is complete or ongoing, according to implementation plan developed for each region by 29 May 2026</t>
  </si>
  <si>
    <t>Rebeca Grynspan, SG UNCTAD, rebeca.grynspan@unctad.org;
LI Junhua, USG DESA, junhua.li@un.org</t>
  </si>
  <si>
    <t>Adnan Issa, Director Programme Management, UNCTAD, issa@unctad.org;
Wai Min Kwok, Acting Chief Office of the USG, DESA, kwok@un.org;
Carlos Razo, Senior Coordinator Office of the Secretary General, UNCTAD, carlos.razo@un.org;
Guenther Gross, Senior Programme Management Officer Office of the USG, DESA, gross1@un.org</t>
  </si>
  <si>
    <t>DESA;UNCTAD</t>
  </si>
  <si>
    <t>The first meeting endorsed the concept note, agreed on hub list with leads, and committed to distinct value and collaboration with UN mechanisms</t>
  </si>
  <si>
    <t>Established hubs deliver coherent, efficient UN-wide support, integrating data and knowledge for policy coherence and innovative solutions</t>
  </si>
  <si>
    <t>Review final deadline if intention is to demonstrate results from implementation before end 2026</t>
  </si>
  <si>
    <t xml:space="preserve">Leads: 
ITU: Ms. Doreen Bogdan-Martin, Secretary-General (sgo@itu.int)
UNDP Invited to co-Lead: Haoliang Xu, Acting Administrator (haoliang.xu@undp.org)
Members: 
FAO: Mr. Qu Dongyu, Director General (director-general@fao.org; dongyu.qu@fao.org)
ICAO: Mr. Juan Carlos Salazar, Secretary-General (OSGinbox@icao.int; jsalazar@icao.int)
ILO: Mr. Gilbert F. Houngbo, Director General (ILODirector-General@ilo.org)
UNESCO: Mr Khaled El-Enany, Director-General (dg.secretariat@unesco.org)
UNIDO: Gerd Müller, Director General (ODG@unido.org)
WHO: Mr. Tedros Adhanom Ghebreyesus, Director General (dgoffice@who.int
WMO: Ms Celeste Saulo, Secretary-General (sgomm@wmo.int)
ITC: Ms. Pamela Coke-Hamilton, Executive Director and ASG  (cokehamilton@intracen.org); front office: Ascension Carrasco Rodriguez (carrasco@intracen.org)
UN Women: Sima Bahous, Executive Director. Sima Sami Bahous (sima.bahous@unwomen.org)
UNCTAD: Ms. Rebeca Grynspan, Secretary-General (rebeca.grynspan@unctad.org) UNCTAD: Ms. Rebeca Grynspan, Secretary-General (rebeca.grynspan@unctad.org) UNOPS: Mr. Jorge Moreira, Executive Director (jorge.moreiradasilva@unops.org)
Regional Commissions: Mr. Claver Gatete, Coordinator of the Regional Commissions, ECA Executive Secretary (cgatete@un.org)
Ms. Tatiana Molcean, Executive Secretary of ECE (tatiana.molcean@un.org)
Mr. Mourad Wahba, Acting Executive of ESCWA Secretary  (mourad.wahba@un.org)
UNCTAD: Ms. Rebeca Grynspan, Secretary-General (rebeca.grynspan@unctad.org) 
</t>
  </si>
  <si>
    <t xml:space="preserve">Tomas Lamanauskas, DSG, ITU, dsg@itu.int;
Linda Maquire, ASG/Director Bureau for Management Services, UNDP, linda.maguire@undp.org;
Beth Crawford, ASG/Director Office of Strategy, Programme and Budget, FAO, beth.crawford@fao.org;
Michiel Vreedenburgh, Chief Transformation Officer, ICAO, MVreedenburgh@icao.int;
Laura Thompson, Assistant Director General External and Corporate Relations, ILO, thompsonl@ilo.org;
Jennifer Linkins, Assistant Director-General for Administration and Management, UNESCO, j.linkins@unesco.org;
Cecilia Ugaz Estrada, Deputy to the Director General, UNIDO, C.UGAZESTRADA@unido.org -tbc;
Bruce Aylward, Senior Advisor to the Director-General, WHO, aylwardb@who.int;
Ko Barrett, DSG, WMO, dsgo@wmo.int;
Mondher Mimouni, Director Division of Market Development, ITC, mimouni@intracen.org;
Nyaradzayi Gumbonzvanda. Deputy Executive Director Normative Support, System Coordination, Programme Results, UN Women, n.gumbonzvanda@unwomen.org;
Rahul Malhotra, -, UNOPS, rahulm@unops.org;
UNCTAD Tbc: 
Regional Commissions: 
Thilmeeza Hussain, -, ECA, thilmeeza.hussain@un.org;
Aboubakri Diaw, -, ECA, diaw2@un.org;
Paul John Ladd, -, ECE, paul.ladd@un.org;
Maisaa Youssef, -, ESCWA, youssef8@un.org;
Riwa Nasreddine, -, ESCWA, nasreddine@un.org;
Support/Advisor:  
Jens Christian Wandel, SA Reform, jens.wandel@un.org
 </t>
  </si>
  <si>
    <t>ITU;UNDP;FAO;ICAO;ILO;UNESCO;UNIDO;WHO;WMO;ITC;UN Women;UNOPS;ECA;ECE;ESCWA;UNCTAD;SA Reform</t>
  </si>
  <si>
    <t>Concept endorsed (legal/financial assessment, catalogue design, and demand protocol and arrangements)</t>
  </si>
  <si>
    <t>EOD fully operational system-wide: expertise catalogue launched, protocols institutionalized, proven replacement of duplicative capacities</t>
  </si>
  <si>
    <t xml:space="preserve">Leads: 
ITU: Ms. Doreen Bogdan-Martin, Secretary-General (sgo@itu.int)
UNDP Invited to co-Lead: Haoliang Xu, Acting Administrator (haoliang.xu@undp.org)
Members: 
FAO: Mr. Qu Dongyu, Director General (director-general@fao.org; dongyu.qu@fao.org)
ICAO: Mr. Juan Carlos Salazar, Secretary-General (OSGinbox@icao.int; jsalazar@icao.int)
ILO: Mr. Gilbert F. Houngbo, Director General (ILODirector-General@ilo.org)
UNESCO: Mr Khaled El-Enany, Director-General (dg.secretariat@unesco.org)
UNIDO: Gerd Müller, Director General (ODG@unido.org)
WHO: Mr. Tedros Adhanom Ghebreyesus, Director General (dgoffice@who.int)
WMO: Ms Celeste Saulo, Secretary-General (sgomm@wmo.int)
ITC: Ms. Pamela Coke-Hamilton, Executive Director and ASG  (cokehamilton@intracen.org); front office: Ascension Carrasco Rodriguez (carrasco@intracen.org)
UN Women: Sima Bahous, Executive Director. Sima Sami Bahous (sima.bahous@unwomen.org)
UNCTAD: Ms. Rebeca Grynspan, Secretary-General (rebeca.grynspan@unctad.org) UNOPS: Mr. Jorge Moreira, Executive Director (jorge.moreiradasilva@unops.org)
Regional Commissions: Mr. Claver Gatete, Coordinator of the Regional Commissions, ECA Executive Secretary (cgatete@un.org)
Ms. Tatiana Molcean, Executive Secretary of ECE (tatiana.molcean@un.org)
Mr. Mourad Wahba, Acting Executive of ESCWA Secretary  (mourad.wahba@un.org)
</t>
  </si>
  <si>
    <t xml:space="preserve">Tomas Lamanauskas, DSG, ITU, dsg@itu.int;
Linda Maquire, ASG/Director Bureau for Management Services, UNDP, linda.maguire@undp.org;
Beth Crawford, ASG/Director Office of Strategy, Programme and Budget, FAO, beth.crawford@fao.org;
Michiel Vreedenburgh, Chief Transformation Officer, ICAO, MVreedenburgh@icao.int;
Laura Thompson, Assistant Director General External and Corporate Relations, ILO, thompsonl@ilo.org;
Jennifer Linkins, Assistant Director-General for Administration and Management, UNESCO, j.linkins@unesco.org;
Cecilia Ugaz Estrada, Deputy to the Director General, UNIDO, C.UGAZESTRADA@unido.org -tbc;
Bruce Aylward, Senior Advisor to the Director-General, WHO, aylwardb@who.int;
Ko Barrett, DSG, WMO, dsgo@wmo.int;
Mondher Mimouni, Director Division of Market Development, ITC, mimouni@intracen.org;
Nyaradzayi Gumbonzvanda. Deputy Executive Director Normative Support, System Coordination, Programme Results, UN Women, n.gumbonzvanda@unwomen.org;
Rahul Malhotra, -, UNOPS, rahulm@unops.org;
UNCTAD Tbc:
Regional Commissions: 
Thilmeeza Hussain, -, ECA, thilmeeza.hussain@un.org;
Aboubakri Diaw, -, ECA, diaw2@un.org;
Paul John Ladd, -, ECE, paul.ladd@un.org;
Maisaa Youssef, -, ESCWA, youssef8@un.org;
Riwa Nasreddine, -, ESCWA, nasreddine@un.org;
Support/Advisor:  
Jens Christian Wandel, SA Reform, jens.wandel@un.org
 </t>
  </si>
  <si>
    <t>ASG DCO Oscar Fernandez Taranco, fernandez-taranco@un.org
USG DPPA Rosemary Di Carlo, rosemary.dicarlo@un.org
USG OCHA Tom Fletcher, fletcher@un.org
USG OLA Elinor Hammarskjold, hammarskjold@un.org
USG UNAIDS Winifred Byanyima, byanyimaw@unaids.org
USG UNEP, inger.andersen@un.org
ASG UNDP Haoliang Xu, haoliang.xu@undp.org
USG UNFPA Diene Keita, keita@unfpa.org
USG UNHCR Filippo Grandi, grandi@unhcr.org
ED UNICEF Catherine Russell, crussell@unicef.org
ED Sima Sami Bahous, sima.bahous@unwomen.org
ED UNESCO, Khaled El-Enany</t>
  </si>
  <si>
    <t>ASG Brands Kehris, ilze.brandskehris@un.org
Karin Lucke , karin.lucke@un.org
Kevin Turner, kevin.turner@un.org
Dominique Bush, bushd@un.org</t>
  </si>
  <si>
    <t>Concept adopted</t>
  </si>
  <si>
    <t>Human Rights Group established</t>
  </si>
  <si>
    <t>Guy Ryder, USG for Policy, guy.ryder@un.org</t>
  </si>
  <si>
    <t>Melanie Ramjoue, Senior Programme Officer, EOSG, ramjoue@un.org</t>
  </si>
  <si>
    <t>EOSG (USG Policy)</t>
  </si>
  <si>
    <t>Coordination fora mapped and baseline survey analytics finalized</t>
  </si>
  <si>
    <t>Proposal for streamlining of fora for implementation finalized (where necessary for Member States endorsement)</t>
  </si>
  <si>
    <t xml:space="preserve">Guy Ryder, USG for Policy, guy.ryder@un.org
</t>
  </si>
  <si>
    <t>Coordination forum backend support mapped and baseline 				analytics finalized</t>
  </si>
  <si>
    <t>Interagency task forces and working groups streamlined around 			Regional Monthly Review</t>
  </si>
  <si>
    <t>Interagency task forces and working groups streamlined around Regional Monthly Review</t>
  </si>
  <si>
    <t>All special envoys mapped</t>
  </si>
  <si>
    <t>Any changes in Special Envoy roster submitted for Member States decision, as required (e.g., in 2027 programme budget)</t>
  </si>
  <si>
    <t xml:space="preserve">Amina J. Mohammed, DSG, Amina.mohammed@un.org;
Izumi Nakamitsu, USG ODA, nakamitsu@un.org;
Oscar Fernandez Taranco, ASG DCO, fernandez-taranco@un.org 
</t>
  </si>
  <si>
    <t>System-wide working group convened and draft outline on Regional Reset to be shared with the Secretary-General for guidance, reflecting cross-pillar dimensions</t>
  </si>
  <si>
    <t>Aspects of the regional reset – including RIPs – under Secretary-General prerogative implemented and decisions taken by Member States (Report May 2026 - TBC, depend on UN80 next reporting cycle)</t>
  </si>
  <si>
    <t>Amina Mohammed, DSG, amina.mohammed@un.org;
Tom Fletcher, ERC and USG OCHA, fletcher@un.org</t>
  </si>
  <si>
    <t xml:space="preserve">Garry Conille, Special Adviser, DCO, gconille@unicef.org;
Edem Wosornu, Director Crisis Response Division, OCHA, wosornu@un.org;
Jean Philippe Bernardini, Senior Political Affairs Officer, EOSG, Bernardini@un.org 
</t>
  </si>
  <si>
    <t>EOSG (ODSG);OCHA</t>
  </si>
  <si>
    <t>Action plan for the Shared Platform Initiative with specific timelines for immediate implementation and progress report to the Secretary-General summarizing next steps finalized</t>
  </si>
  <si>
    <t>All initiatives rolled out and implementation finalized, as country 			contexts required</t>
  </si>
  <si>
    <t>Draft of the proposal for simplifying country-level planning process where necessary finalized (ensuring complementarity between the planning frameworks); conducted with PBSO</t>
  </si>
  <si>
    <t>Simplified planning process and associated needs analysis system-wide rolled out</t>
  </si>
  <si>
    <t>Review membership: PBSO</t>
  </si>
  <si>
    <t>Catherine Pollard, HLCM Chair, ;
 HLCM Vice-Chair;
BIG-Co Chairs</t>
  </si>
  <si>
    <t xml:space="preserve">Remo Lalli remo.lalli@un.org 
Silvan Scheiwiller scheiwiller@un.org
Federico Calciolari federico.calciolari@un.org 
Larai Musa larai.musa@un.org
Peride Blind blind@un.org 
Antoine Sfeir sfeira@unhcr.org </t>
  </si>
  <si>
    <t>Integration of HLCM’s Far-Reaching Efficiency Initiatives (FREIs) and BIG’s Global Shared Services (GSS) agenda into one single unified service roadmap outline.</t>
  </si>
  <si>
    <t>Release of the outcome report on the Unified Services Roadmap, outlining progress, results and suggested next steps</t>
  </si>
  <si>
    <t>Review final deadline to ensure checkpoint on impact of action before end of December 2026</t>
  </si>
  <si>
    <t>Remo Lalli remo.lalli@un.org 
Silvan Scheiwiller scheiwiller@un.org
Federico Calciolari federico.calciolari@un.org 
Larai Musa larai.musa@un.org
Peride Blind blind@un.org</t>
  </si>
  <si>
    <t>Release of the assessment framework that will be used to guide decision making on items outlined in A32.</t>
  </si>
  <si>
    <t>Final release of the outcomes of the assessment (cost, risk, complexity, ...)</t>
  </si>
  <si>
    <t>Larai Musa larai.musa@un.org
Peride Blind blind@un.org</t>
  </si>
  <si>
    <t>Commence the Self Starter Common Back Office/ locally shared service trainings towards accelerated unified common service backbone in countries; Launch survey to identify high impact target countries for supported roll out; Launch an Interagency task forc</t>
  </si>
  <si>
    <t>Release integrated suite of services for common back office, which include knowledge management products and work towards achieving consistent comparative result reporting; Expand the reach of service offerings from BIG to the whole network at country lev</t>
  </si>
  <si>
    <t>Release of the CBO Tracking Tool and CBO Self Starter Reporting methodology for new CBOs;  
Promote strengthened reporting practices using tracking tool across UN system</t>
  </si>
  <si>
    <t>Identify potential service offerings funded by programme budget that can utilize and build on efficiency measures developed for administrative expenditure; For launched CBOs, release the preliminary efficiency gains per scaled common services in new</t>
  </si>
  <si>
    <t>SG ITU;USG Policy;Chair DTN</t>
  </si>
  <si>
    <t>SA Reform, DG WIPO, Administrator UNDP, DG WHO, Vice-Chair HLCM</t>
  </si>
  <si>
    <t>CDO UNDP (Robert Opp, robert.opp@undp.org), CIO ITU (khuloud.odeh@itu.int), CIO FAO (dejan.jakovljevic@fao.org), CITO UN (bmariano@un.org), SPMU EOSG (jauer@un.org)</t>
  </si>
  <si>
    <t>Systemwide baseline completed: comprehensive mapping of existing ICT capacities, spending, contracts, staffing, shared-service providers, as well as ongoing consolidation initiatives and additional potential</t>
  </si>
  <si>
    <t>ICT Consolidation Framework Proposal endorsed by CEB: unified vendor agreements, harmonized core ICT capacities, and operational shared-service delivery model for UN system entities</t>
  </si>
  <si>
    <t>Portfolio of high-impact technology acceleration use cases proposed to the Steering Committee, based on priority challenges identified in UN 2.0 and UN80 reports, with tailored delivery setups identified for each use case</t>
  </si>
  <si>
    <t>At least three priority accelerator use cases in deployment systemwide, with clear KPI improvements (e.g., documented efficiency gains and user satisfaction improvements)</t>
  </si>
  <si>
    <t>No submission</t>
  </si>
  <si>
    <t>UN System Staff College
Miguel Panadero, Acting Director; m.panadero@unssc.org 
Silke Weinlich, Deputy Director; s.weinlich@unssc.org 
UNITAR 
Marina Dinca Vasilescu, Director, Operations; Marina.VASILESCU@unitar.org 
Evariste Karambizi, Director, Division for Peace; Evariste.KARAMBIZI@unitar.org 
UN Women
Nyaradzayi Gumbonzvanda, Deputy Executive Director, n.gumbonzvanda@unwomen.org;
Papa Seck, Chief Research and Data; papa.seck@unwomen.org
ITU
Doreen Bogdan-Martin, Secretary-Generaldoreen.bogdan@itu.int
Regina Valiullina; Regina.Valiullina@itu.int); 
ITC ILO
Andreas Klemmer, Director of Training, International Training Centre of the International Labour Organization (ITC ILO); A.Klemmer@itcilo.org 
Development Coordination Office 
Oscar Fernández-Taranco, Assistant Secretary-General for Development Coordination; fernandez-taranco@un.org 
Helena Fraser, Director, Policy and Programming Branch; fraser@un.org 
Department of Operational Support 
Adrian Hills, Chief, Capacity Development and Operational Training Service; hillsa@un.org
Mohammad Jeram, Chief of Operational Training Section, CDOTS; jeram@un.org
Paola Matarazzo, Chief, Business Process &amp; Systems Support Section, CDOTS; matarazzo@un.org</t>
  </si>
  <si>
    <t>Merger roadmap agreed by UNITAR and UNSSC, incl.  needs assessment, scope, methodology, and joint plan for functional/financial mapping. Consultations launched</t>
  </si>
  <si>
    <t>Review final milestone date, e.g., align with inter-governmental calendar</t>
  </si>
  <si>
    <t>Tshilidzi Marwala, Rector UNU (USG), rector@unu.edu</t>
  </si>
  <si>
    <t>Xiaomeng Shen Vice Rector Europe shen@ehs.unu.edu Sabine Becker-Thierry Director UNU Paris sabine.becker@unu.edu</t>
  </si>
  <si>
    <t>UNU Council would have reviewed and endorsed the UN80 report’s recommendations to integrate UNRISD into UNU.</t>
  </si>
  <si>
    <t>A public announcement of UNRISD’s integration into UNU was made, including forward looking timing.</t>
  </si>
  <si>
    <t>Plan in place setting out scope and key considerations of the knowledge mapping exercise and entities to be engaged</t>
  </si>
  <si>
    <t>Blueprint for Joint UN Coordination Mechanism endorsed by SG.</t>
  </si>
  <si>
    <t>Consider being more ambitious, e.g., up to piloting mechanism, e.g. next CEB in May 2026</t>
  </si>
  <si>
    <t>Analysis, mapping and categorization of all pooled funding and data.</t>
  </si>
  <si>
    <t>Draft paper on strengthening the case for core funding finalized for discussion with stakeholders.</t>
  </si>
  <si>
    <t>Mapping of Funding Compact dialogues at country level and in governing bodies complete</t>
  </si>
  <si>
    <t>Guy Ryder, USG for Policy, guy.ryder@un.org
Movses Abelian, USG DGACM, abelian@un.org</t>
  </si>
  <si>
    <t>Melanie Ramjoue, Senior Programme Officer, ramjoue@un.org
Wannes Lint, Intergovernmental Affairs Officer, lint@un.org</t>
  </si>
  <si>
    <t>Analysis of results of member states survey on mandate creation support finalized</t>
  </si>
  <si>
    <t>Proposals for enhanced mandate creation support submitted to MS for decision (e.g., in next programme budget)</t>
  </si>
  <si>
    <t>Prepare an action plan (as part of item 80) to strengthen support by UN entities to coordinate and promote greater visibility across mandating bodies</t>
  </si>
  <si>
    <t xml:space="preserve">Melanie Ramjoue, Senior Programme Officer, ramjoue@un.org
Wannes Lint, Intergovernmental Affairs Officer, lint@un.org </t>
  </si>
  <si>
    <t>Survey to assess available support of mandate creation system-wide launched and distributed to different UN system secretariats</t>
  </si>
  <si>
    <t>Joint programme launched before 81st GA session to enable a coordinated platform aggregating mandate creation support across intergovernmental bodies</t>
  </si>
  <si>
    <t>Melanie Ramjoue, Senior Programme Officer, ramjoue@un.org
Wannes Lint, Intergovernmental Affairs Officer, lint@un.org
OPPFB - TBC</t>
  </si>
  <si>
    <t>Initial concept note finalized between EOSG, DGACM, and OPPFB</t>
  </si>
  <si>
    <t>Proposals for enhanced mandate creation support submitted to MS for decision (e.g., in the next programme budget)</t>
  </si>
  <si>
    <t>Draft Concept Paper establishing the intellectual foundation for the proposed Action Plan including communication of systemwide results</t>
  </si>
  <si>
    <t>Final Action Plan outlining an implementable system-wide 				pathway for a results-based management mechanism / 				communication standards</t>
  </si>
  <si>
    <t>USGs DiCarlo and Lacroix</t>
  </si>
  <si>
    <t>ASG Spehar, director Awa Dabo, OROLSI colleagues, chiefs OUSG Markus Bouillon and Marco Bianchini</t>
  </si>
  <si>
    <t>GA endorses proposed establishment of unified PBPSO and abolition of one ASG post</t>
  </si>
  <si>
    <t>Directors PMD and DPET, Asif Khan and David Haeri, and chiefs OUSG Markus Bouillon and Marco Bianchini</t>
  </si>
  <si>
    <t>GA endorses proposed merger of the separate gender units in DPPA and DPO.  Merged gender unit takes up its work, reporting to both USGs</t>
  </si>
  <si>
    <t>DPET and PMD directors David Haeri and Asif Khan, chiefs OUSG Markus Bouillon and Marco Bianchini</t>
  </si>
  <si>
    <t>Discussions and clarification on mechanisms, including joint strategies and programmes, to link cross-cutting functions </t>
  </si>
  <si>
    <t>Clear division of labour and joint mechanisms</t>
  </si>
  <si>
    <t>Chiefs OUSG Marco Bianchini and Markus Bouillon, ASG Khiari</t>
  </si>
  <si>
    <t>GA endorses proposed consolidation of two ASG posts and offices</t>
  </si>
  <si>
    <t>ASG Pobee, chiefs OUSG Marco Bianchini and Markus Bouillon</t>
  </si>
  <si>
    <t>GA endorses proposed combination of WAD and NAD </t>
  </si>
  <si>
    <t>USG DiCarlo, ASG Khiari</t>
  </si>
  <si>
    <t>chief OUSG Markus Bouillon, OASG MEAP</t>
  </si>
  <si>
    <t>Security Council decision on integration</t>
  </si>
  <si>
    <t>Revised budget for and implementation of integration</t>
  </si>
  <si>
    <t>USG DiCarlo and ASG Pobee</t>
  </si>
  <si>
    <t>Chief OUSG Markus Bouillon, OASG Africa</t>
  </si>
  <si>
    <t>Relevant Security Council consultations/decisions</t>
  </si>
  <si>
    <t>Chiefs OUSG DPPA and DPO, Markus Bouillon and Marco Bianchini, director ECAD Kayoko Gotoh</t>
  </si>
  <si>
    <t>GA endorses revised estimates for OSASG Cyprus</t>
  </si>
  <si>
    <t>Further implementation of strengthened alignment</t>
  </si>
  <si>
    <t>USG DiCarlo</t>
  </si>
  <si>
    <t>Chief OUSG Markus Bouillon, OASG ECAA, director ECAD Kayoko Gotoh</t>
  </si>
  <si>
    <t>GA endorses revised estimates for UNRGID</t>
  </si>
  <si>
    <t>Full implementation of structural changes</t>
  </si>
  <si>
    <t>Chief OUSG Markus Bouillon, PMD director/co-chair Joint Programme Asif Khan</t>
  </si>
  <si>
    <t>Establishing financial and other necessary conditions</t>
  </si>
  <si>
    <t>Hosting of regional PDAs in RECs, financial and other necessary conditions permitting</t>
  </si>
  <si>
    <t>Chief OUSG Markus Bouillon</t>
  </si>
  <si>
    <t>Establishing mandate, budgetary and other necessary measures and challenges</t>
  </si>
  <si>
    <t>Submission of final proposals pertaining to closer collaboration between SPMs and RECs</t>
  </si>
  <si>
    <t>USG DiCarlo, ASG Spehar, ODA, OCT</t>
  </si>
  <si>
    <t>Chief OUSG DPPA Markus Bouillon, PBPSO director Awa Dabo, ODA, OCT</t>
  </si>
  <si>
    <t>Clarify meaning of this action.</t>
  </si>
  <si>
    <t>Align surge capacities as possible.</t>
  </si>
  <si>
    <t>Review ambition and deadline for final milestone</t>
  </si>
  <si>
    <t>Chief OUSG Markus Bouillon, PMD director/co-chair Joint Programme Asif Khan, DCO</t>
  </si>
  <si>
    <t>Provision of PDA support to relevant RCOs, financial and other necessary conditions permitting</t>
  </si>
  <si>
    <t xml:space="preserve">Candice Welsch; Director for Policy and Public Affairs, UNODC; candice.welsch@un.org   
</t>
  </si>
  <si>
    <t>UNODC</t>
  </si>
  <si>
    <t>UNOCT</t>
  </si>
  <si>
    <t>By 31 January UNOCT will have circulated an options paper and a set of key messages on coordination and coherence for the consideration of the Global Counter-Terrorism Coordination Compact Committee</t>
  </si>
  <si>
    <t>Mr. Alexandre Zouev, Acting Under-Secretary-General, UNOCT, alexandre.zouev@un.org
Mr. John Brandolino, Acting Under-Secretary-General, UNODC, john.brandolino@un.org</t>
  </si>
  <si>
    <t>Mr. Eihab Omaish, Director for Policy and Coordination, UNOCT, omaish@un.org 
Mr. Mauro Miedico, Director for Capacity Building, UNOCT, mauro.miedico@un.org
Ms. Oguljeren Niyazberdiyeva, Chief, Officer of the Under-Secretary-General, UNOCT, niyazberdiyeva@un.org
Mr. Mehdi Knani, Chief of Section, Front Office/OUSG, UNOCT, mehdi.knani@un.org
Ms. Tamara Anderson, Chief of Section, Policy, Knowledge and Coordination Branch, UNOCT, andersont@un.org
Roberto Arbitrio roberto.arbitrio@un.org 
Kate Fitzpatrick kate.fitzpatrick@un.org
Alejandro Matta Maya alejandro.matta@un.org;</t>
  </si>
  <si>
    <t>UNOCT;UNODC</t>
  </si>
  <si>
    <t>Winnie Byanyima, ED UNAIDS, byanyimaw@unaids.org</t>
  </si>
  <si>
    <t>Mahesh Mahalingam, Chief of Staff, maheshm@unaids.org;
Morten Ussing, Director Governance, ussingm@unaids.org;
Christine Stegling, ASG Deputy Executive Director, steglingc@unaids.org</t>
  </si>
  <si>
    <t>UNAIDS</t>
  </si>
  <si>
    <t>UNAIDS Board agrees process for delivering a final plan for full transformation of UNAIDS that is aligned with UN80;  AIDS Strategy adopted.</t>
  </si>
  <si>
    <t>Consider implementation plan before December 2026</t>
  </si>
  <si>
    <t>Ligia Noronha, ASG and Head of the NYO, UNEP, ligia.noronha@un.org;
Rafael Peralta, Regional Director for North America, UNEP peralta@un.org;
Nicolas Bertrand, Chief of Staff, nicolas.bertrand@un.org;
UNEP's Executive Office;
Daniele Violetti, Senior Director Programmes Coordination, UNFCCC, dvioletti@unfccc.int;
James Grabert, Director Mitigation, UNFCCC, JGrabert@unfccc.int;
Joanna MacGregor, Chief Strategy and UN Affairs, UNFCCC, jmacgregor@unfccc.int</t>
  </si>
  <si>
    <t>Terms of reference of the assessment finalized, including scope, methodology, timeline and specific outcomes</t>
  </si>
  <si>
    <t>Assessment to reinforce environmental science, strengthen coordination on environment, joint knowledge integration hubs &amp; possible strategic alignments completed (date TBC - M. Correa)</t>
  </si>
  <si>
    <t>Director, SDU</t>
  </si>
  <si>
    <t>Library NY, Global Pulse</t>
  </si>
  <si>
    <t>Patrick Carey careyp@un.org</t>
  </si>
  <si>
    <t>CAP established with initial operating capacity and all Executive Office personnel reporting to DOS.</t>
  </si>
  <si>
    <t>CAP fully operational.</t>
  </si>
  <si>
    <t>Giovanna Ceglie giovanna.ceglie@un.org</t>
  </si>
  <si>
    <t>Phase II CAPs endorsed.</t>
  </si>
  <si>
    <t>Phase II CAPs approved by General Assembly.</t>
  </si>
  <si>
    <t>Consider adjusting final milestone date to earlier potential checkpoint, if possible</t>
  </si>
  <si>
    <t>Core payroll functions for five existing payroll offices consolidated into the proposed Global Payroll Centres.</t>
  </si>
  <si>
    <t>Global Payroll Centre fully operational in New York, Nairobi and Entebbe</t>
  </si>
  <si>
    <t>Cherith A Norman Chalet normanchalet@un.org</t>
  </si>
  <si>
    <t>Complete analysis of survey on scope of contractual translation services to determine potential management mechanisms and their viability .</t>
  </si>
  <si>
    <t>TBD (subject to outcome of milestone 1)</t>
  </si>
  <si>
    <t>Preliminary final milestone to be added</t>
  </si>
  <si>
    <t>Bernardo Mariano Junior bmariano@un.org</t>
  </si>
  <si>
    <t>Pilot begins of Data Center Consolidation initiative, Pending approval of Phase I of the Secretariat ICT Consolidation and Digital Hubs: establishment of first Digital hub in Valencia.</t>
  </si>
  <si>
    <t>Pilot is concluded, lessons learned exercise completed, Phase I plan created.</t>
  </si>
  <si>
    <t>Paulin Djomo Metanhi djomo@un.org</t>
  </si>
  <si>
    <t>At the end of December 2025, phase one of the consolidation review is completed. Jan 2026 expected endorsement of consolidation.</t>
  </si>
  <si>
    <t>Subject to Steering Group endorsement. Implementation not expected before Dec 2026.</t>
  </si>
  <si>
    <t>Phase 1 Travel Processing Office Consolidation Complete and Operational.</t>
  </si>
  <si>
    <t>Phase 2 Travel Processing Office Consolidation (Regional Hubs) Established. Full operational readiness subject to implementation of new travel management company contracts/procurement process (likely through 2028).</t>
  </si>
  <si>
    <t>Consider earlier initial milestone; final milestone date falls outside implementation period of UN80 Initiative Action Plan</t>
  </si>
  <si>
    <t xml:space="preserve">AnneMarie Van Den Berg vandenberga@un.org
Corinne Fleischer corinne.fleischer@wfp.org
Leila Pakkala lpakkala@unicef.org </t>
  </si>
  <si>
    <t>Proposal for harmonized in-country logistics, with initial application in Afghanistan, Haiti, Gaza (OPT), Somalia and Sudan finalized</t>
  </si>
  <si>
    <t>Coordinated procurement of identified key items, pooled global logistics, and shared in-country logistics services are operational across the UN system</t>
  </si>
  <si>
    <t>DO NOT SORT; PLEASE ONLY USE FILTER+B2</t>
  </si>
  <si>
    <t>FROM SHAREPOINT LIST</t>
  </si>
  <si>
    <t>Actions completed [%]</t>
  </si>
  <si>
    <t>SANITIZED MILESTONE (DRAFT)</t>
  </si>
  <si>
    <t>MANUALLY INPUTTED NOTES</t>
  </si>
  <si>
    <t>RISK</t>
  </si>
  <si>
    <t>Sub-Action</t>
  </si>
  <si>
    <t>UpcomingMilestone</t>
  </si>
  <si>
    <t>DeliveryDate</t>
  </si>
  <si>
    <t>Updates</t>
  </si>
  <si>
    <t>Upcoming Milestone</t>
  </si>
  <si>
    <t>Delivery Date</t>
  </si>
  <si>
    <t>Notes and Comments</t>
  </si>
  <si>
    <t>OLA review status</t>
  </si>
  <si>
    <t>Check</t>
  </si>
  <si>
    <t>Upcoming milestone check</t>
  </si>
  <si>
    <t>Notes from Task Force</t>
  </si>
  <si>
    <t>Notes on FP/working team level</t>
  </si>
  <si>
    <t>Questions on Initial Milestone</t>
  </si>
  <si>
    <t>Questions on Final Milestone</t>
  </si>
  <si>
    <t>Column1</t>
  </si>
  <si>
    <t>Risk (Bureaucracy; Buy-in; Progress Stagnation; etc.)</t>
  </si>
  <si>
    <t>USG DPPA; USG DPO</t>
  </si>
  <si>
    <t>Rosemary DiCarlo, USG DPPA, rosemary.dicarlo@un.org;
Jean-Pierre Lacroix, USG DPO, jean-pierre.lacroix@un.org
Alexander de Croo, Administrator UNDP, alexander.de.croo@undp.org;
Tom Fletcher, USG OCHA, fletcher@un.org;
Oscar Fernandez Taranco, ASG DCO, fernandez-taranco@un.org;
Volker Türk, HC OHCHR, volker.turk@un.org;
Elizabeth Spehar, ASG PBSO, spehare@un.org;
Faisal Shahkar, UN Police Commissioner DPO OROLSI, faisal.shahkar@un.org;
Catherine Russell, ED UNICEF, crussell@unicef.org;
Sima Bahous, Executive Director, UN Women sima.bahous@unwomen.org;
Vanessa Frazier, SRSG CAAC,, vanessa.frazier@un.org;
Pramila Patten, SRSG SVC, pramila.patten@un.org</t>
  </si>
  <si>
    <t>DPPA; DPO; UNDP; OCHA; DCO; OHCHR; UNICEF; UN Women; OSRSG CAAC; OSRSG SVC</t>
  </si>
  <si>
    <t>Language on delegation included in the draft review of peace ops that includes the overall reset, to be sent to SG for approval.</t>
  </si>
  <si>
    <t>Concept note and roadmap to be finalized by DPO and DPPA, for SG's consideration.</t>
  </si>
  <si>
    <t>Draft review of the future of peace operations (requested in GA resolution 79/1) submitted for the Secretary-General's consideration</t>
  </si>
  <si>
    <t>OK</t>
  </si>
  <si>
    <t xml:space="preserve"> - Problem statement and objectives clarified?
- Scope of tasks to be delegated defined?
- Relevant entities and capacities mapped?
- Initial options or models drafted?
- Inputs from key stakeholders gathered?</t>
  </si>
  <si>
    <t>Yes</t>
  </si>
  <si>
    <t>DPPA; DPO</t>
  </si>
  <si>
    <t>Draft of the review of the future of all forms of peace operations, including recommendations on a reset of peace operations, submitted to the Secretary-General</t>
  </si>
  <si>
    <t>Review of the future of peace operations, including recommendations on a reset of peace operations, finalised (final date dependent on SG clearance).</t>
  </si>
  <si>
    <r>
      <rPr>
        <b/>
        <sz val="11"/>
        <color rgb="FF000000"/>
        <rFont val="Aptos Narrow"/>
        <family val="2"/>
        <scheme val="minor"/>
      </rPr>
      <t xml:space="preserve">15 Jan:
KJ/MR:
</t>
    </r>
    <r>
      <rPr>
        <sz val="11"/>
        <color rgb="FF000000"/>
        <rFont val="Aptos Narrow"/>
        <family val="2"/>
        <scheme val="minor"/>
      </rPr>
      <t>- USG La Croix talked to SG saying that review may be done only in March
- They will talk with USG Rosemary in Feb to SG
- There's a note that MR can share
- They have SPG channell with SG and Guy not a part of this</t>
    </r>
  </si>
  <si>
    <t xml:space="preserve"> - Scope and methodology confirmed?
- Data and inputs collected?
- Analysis completed and findings captured?
- Expert validation conducted?
- Assessment note finalized?</t>
  </si>
  <si>
    <t xml:space="preserve">Tom Fletcher, USG OCHA, fletcher@un.org
</t>
  </si>
  <si>
    <t>By Q1 2026, publication of 2026 Humanitarian Response Plans (HNRPs) that are shorter, sharper and increasingly digitized</t>
  </si>
  <si>
    <t>Substantive work has been done, hence no initial indicative milestone</t>
  </si>
  <si>
    <t>Humanitarian Response Plans for 2026 published in shorter and more digital format</t>
  </si>
  <si>
    <r>
      <rPr>
        <b/>
        <sz val="11"/>
        <color theme="1"/>
        <rFont val="Aptos Narrow"/>
        <family val="2"/>
        <scheme val="minor"/>
      </rPr>
      <t xml:space="preserve">16 Jan:
KJ: </t>
    </r>
    <r>
      <rPr>
        <sz val="11"/>
        <color theme="1"/>
        <rFont val="Aptos Narrow"/>
        <family val="2"/>
        <scheme val="minor"/>
      </rPr>
      <t xml:space="preserve">Big picture where's the juice?
</t>
    </r>
    <r>
      <rPr>
        <b/>
        <sz val="11"/>
        <color theme="1"/>
        <rFont val="Aptos Narrow"/>
        <family val="2"/>
        <scheme val="minor"/>
      </rPr>
      <t xml:space="preserve">Murad: </t>
    </r>
    <r>
      <rPr>
        <sz val="11"/>
        <color theme="1"/>
        <rFont val="Aptos Narrow"/>
        <family val="2"/>
        <scheme val="minor"/>
      </rPr>
      <t xml:space="preserve">Supply chain, common services, Data Collaborative (most advanced, concrete), beneficiary data (could be hopeful - need to push), </t>
    </r>
    <r>
      <rPr>
        <b/>
        <sz val="11"/>
        <color theme="1"/>
        <rFont val="Aptos Narrow"/>
        <family val="2"/>
        <scheme val="minor"/>
      </rPr>
      <t xml:space="preserve">
Murad:
</t>
    </r>
    <r>
      <rPr>
        <sz val="11"/>
        <color theme="1"/>
        <rFont val="Aptos Narrow"/>
        <family val="2"/>
        <scheme val="minor"/>
      </rPr>
      <t xml:space="preserve">- Internal pressure from quint on substance -- potential to push to further progress
- IASC agreed
- Led by Gemma
</t>
    </r>
    <r>
      <rPr>
        <b/>
        <sz val="11"/>
        <color theme="1"/>
        <rFont val="Aptos Narrow"/>
        <family val="2"/>
        <scheme val="minor"/>
      </rPr>
      <t xml:space="preserve">KJ: </t>
    </r>
    <r>
      <rPr>
        <sz val="11"/>
        <color theme="1"/>
        <rFont val="Aptos Narrow"/>
        <family val="2"/>
        <scheme val="minor"/>
      </rPr>
      <t xml:space="preserve">Is it for 2026 or 2027?
</t>
    </r>
    <r>
      <rPr>
        <b/>
        <sz val="11"/>
        <color theme="1"/>
        <rFont val="Aptos Narrow"/>
        <family val="2"/>
        <scheme val="minor"/>
      </rPr>
      <t xml:space="preserve">Murad:
</t>
    </r>
    <r>
      <rPr>
        <sz val="11"/>
        <color theme="1"/>
        <rFont val="Aptos Narrow"/>
        <family val="2"/>
        <scheme val="minor"/>
      </rPr>
      <t>- Likely in 2027 -- increased digitization
- Gemma is clear on this but he's not aware</t>
    </r>
  </si>
  <si>
    <t xml:space="preserve">Tom Fletcher, USG OCHA, fletcher@un.org;
Catherine Russell, ED UNICEF, crussell@unicef.org;
Cindy McCain, ED WFP, cindy.mccain@wfp.org;
Atul Khare, USG DOS, khare@un.org
</t>
  </si>
  <si>
    <t xml:space="preserve">Hansjoerg Strohmeyer, Policy Director, OCHA, strohmeyerh@un.org;
AnneMarie Van Den Berg, Assistant Secretary-General, PSCM-DOS, vandenberga@un.org;
Corinne Fleischer, Director, Supply Chain, WFP, Corinne.fleischer@wfp.org;
Leila Gharagozloo Pakkala, Director, Supply Divisions, UNICEF, lpakkala@unicef.org
</t>
  </si>
  <si>
    <t>OCHA; UNICEF; WFP; DOS</t>
  </si>
  <si>
    <t>Interagency supply chain design endorsed by participating agencies, and starter locations agreed</t>
  </si>
  <si>
    <t>Integrated supply chain operational in starter countries</t>
  </si>
  <si>
    <t xml:space="preserve">Tom Fletcher, USG OCHA, fletcher@un.org;
Filippo Grandi, HC UNHCR  grandi@unhcr.org;
Cindy McCain, ED WFP, 
cindy.mccain@wfp.org
</t>
  </si>
  <si>
    <t>Hansjoerg Strohmeyer, Policy Director, OCHA, strohmeyerh@un.org;
Kelly Tallman Clements, Deputy High Commissioner for Refugees, UNHCR, clements@unhcr.org;
Carl Skau, Deputy Executive Director and Chief Operating Officer, World Food Programme (WFP) - carl.skau@wfp.org</t>
  </si>
  <si>
    <t>OCHA; UNHCR; WFP</t>
  </si>
  <si>
    <t>Initial package of priority common services identified, based on existing practices (e.g. fleet, booking, engineering, connectivity, security/emergency mgmt</t>
  </si>
  <si>
    <t>Priority common services expanded to cover multiple agencies and contexts</t>
  </si>
  <si>
    <t xml:space="preserve"> - Expanded service set confirmed across contexts?
- Uptake by multiple agencies verified?
- Operational performance data collected?
- Efficiency gains and improvements assessed?
- Findings validated through review process?</t>
  </si>
  <si>
    <t>Tom Fletcher, USG OCHA, fletcher@un.org;
Filippo Grandi, HC UNHCR, grandi@unhcr.org;
Catherine Russell, ED UNICEF, crussell@unicef.org;
Cindy McCain, ED WFP, cindy.mccain@wfp.org;
Amy Pope, Director General IOM, dg@iom.int</t>
  </si>
  <si>
    <t xml:space="preserve">Hansjoerg Strohmeyer, Policy Director, OCHA, strohmeyerh@un.org;
Jean-Martin Bauer, Director, Assessments, Planning, Policy and Research, WFP, jean-martin.bauer@wfp.org
Sarah Telford, Head of Centre for Humanitarian Data, OCHA - telford@un.org
</t>
  </si>
  <si>
    <t>OCHA; UNHCR; UNICEF; WFP; IOM</t>
  </si>
  <si>
    <t xml:space="preserve">Humanitarian Cluster Data Workplan finalized, including quick wins, starter countries, governance options and a joint data-sharing ambition
</t>
  </si>
  <si>
    <t>Humanitarian Data Collaborative established, scaling platforms, financing and shared capacities and standards</t>
  </si>
  <si>
    <t>Data collaborative established, scaling joint platforms, financing, capacities and standards</t>
  </si>
  <si>
    <t>Collaborative established, scaling joint platforms, financing, capacities and standards</t>
  </si>
  <si>
    <r>
      <rPr>
        <b/>
        <sz val="11"/>
        <color rgb="FF000000"/>
        <rFont val="Aptos Narrow"/>
        <family val="2"/>
        <scheme val="minor"/>
      </rPr>
      <t xml:space="preserve">14 Jan:
Gemma:
</t>
    </r>
    <r>
      <rPr>
        <sz val="11"/>
        <color rgb="FF000000"/>
        <rFont val="Aptos Narrow"/>
        <family val="2"/>
        <scheme val="minor"/>
      </rPr>
      <t xml:space="preserve">- Bringing data in 1 platform
- Unified 6mo workplan Jan-Jun: implementation on core data harmonization
- NGO partners will be engaged
</t>
    </r>
    <r>
      <rPr>
        <b/>
        <sz val="11"/>
        <color rgb="FF000000"/>
        <rFont val="Aptos Narrow"/>
        <family val="2"/>
        <scheme val="minor"/>
      </rPr>
      <t xml:space="preserve">Guy: </t>
    </r>
    <r>
      <rPr>
        <sz val="11"/>
        <color rgb="FF000000"/>
        <rFont val="Aptos Narrow"/>
        <family val="2"/>
        <scheme val="minor"/>
      </rPr>
      <t>Political buy-in from SC</t>
    </r>
  </si>
  <si>
    <t xml:space="preserve"> - Governance model and TORs finalized?
- Membership and leadership confirmed?
- Shared platforms and financing arrangements activated?
- Initial workplan and standards agreed?
- Collaborative formally launched and operational?</t>
  </si>
  <si>
    <t xml:space="preserve">Tom Fletcher, USG OCHA, fletcher@un.org;
Filippo Grandi, HC UNHCR, grandi@unhcr.org;
Catherine Russell, ED UNICEF, crussell@unicef.org;
Cindy McCain, ED WFP, cindy.mccain@wfp.org;
Amy Pope, Director General IOM, dg@iom.int
</t>
  </si>
  <si>
    <t xml:space="preserve">Hansjoerg Strohmeyer, Policy Director, OCHA, strohmeyerh@un.org;
Fredrick Lee-Ohlsson, Director, OED-DIP, WFP, fredrick.lee-ohlsson@wfp.org;
Ted Chaiban, Deputy Executive Director, UNICEF, tchaiban@unicef.org;
Ugochi Daniels, Deputy Director General for Operations, International Organization for Migration (IOM), udaniels@iom.int;
Shahrzad Tadjbakhsh, Director, Division of International Protection, UNHCR, tadjbakh@unhcr.org
</t>
  </si>
  <si>
    <t>Initiative functioning system-wide, with joint messaging and  strategies for priority crises</t>
  </si>
  <si>
    <r>
      <rPr>
        <b/>
        <sz val="11"/>
        <color rgb="FF000000"/>
        <rFont val="Aptos Narrow"/>
        <family val="2"/>
        <scheme val="minor"/>
      </rPr>
      <t xml:space="preserve">16 Jan:
Murad:
</t>
    </r>
    <r>
      <rPr>
        <sz val="11"/>
        <color rgb="FF000000"/>
        <rFont val="Aptos Narrow"/>
        <family val="2"/>
        <scheme val="minor"/>
      </rPr>
      <t xml:space="preserve">- Options for concept in IASC -- Humanitarian Negotiation Unit in charge
- UNHCR not super happy abt this
- Murad not super aware on the outcome of this
</t>
    </r>
    <r>
      <rPr>
        <b/>
        <sz val="11"/>
        <color rgb="FF000000"/>
        <rFont val="Aptos Narrow"/>
        <family val="2"/>
        <scheme val="minor"/>
      </rPr>
      <t xml:space="preserve">KJ: </t>
    </r>
    <r>
      <rPr>
        <sz val="11"/>
        <color rgb="FF000000"/>
        <rFont val="Aptos Narrow"/>
        <family val="2"/>
        <scheme val="minor"/>
      </rPr>
      <t xml:space="preserve">How to know if the diplomacy is established?
</t>
    </r>
    <r>
      <rPr>
        <b/>
        <sz val="11"/>
        <color rgb="FF000000"/>
        <rFont val="Aptos Narrow"/>
        <family val="2"/>
        <scheme val="minor"/>
      </rPr>
      <t xml:space="preserve">Murad:
</t>
    </r>
    <r>
      <rPr>
        <sz val="11"/>
        <color rgb="FF000000"/>
        <rFont val="Aptos Narrow"/>
        <family val="2"/>
        <scheme val="minor"/>
      </rPr>
      <t xml:space="preserve">- Standing biwekly meeting
- List of contacts published
- Secretariat will coordinate messaging etc.
- Have internal meeting with Manu 
</t>
    </r>
  </si>
  <si>
    <t xml:space="preserve"> - Governance, roles and workflows confirmed?
- Shared messaging and strategies coordinated?
- Participation across agencies verified?
- Priority-crisis approach implemented?
- Evidence of system-wide impact documented?</t>
  </si>
  <si>
    <t>Rania DAGASH-KAMARA, Assistant ED Partnerships and Innovation, rania.dagash@wfp.org</t>
  </si>
  <si>
    <t xml:space="preserve">Laura Turner, Deputy Director of Emergency Coordination, WFP, Laura.Turner@wfp.org;
Ms. Lauren Philips, Director of Partnerships and UN Collaboration, lauren.phillips@fao.org;
Mr. Rein Paulsen, Director of the Office of Emergency and Resilience - rein.paulsen@fao.org;
Ron Hartman, Director for Global Engagement, Partnerships and Resource Mobilization, r.hartman@ifad.org;
Hansjoerg Strohmeyer, Policy Director, OCHA, strohmeyerh@un.org
</t>
  </si>
  <si>
    <t>WFP; FAO; IFAD; OCHA</t>
  </si>
  <si>
    <t>In priority contexts, RBAs show clearer alignment in practice, with better sequencing and less duplication, and share a short lessons-learned note to UN80 bodies</t>
  </si>
  <si>
    <t>Relevant entities demonstrate clearer alignment in priority settings</t>
  </si>
  <si>
    <t>Approaches for more coherent work finalized for priority settings</t>
  </si>
  <si>
    <r>
      <rPr>
        <b/>
        <sz val="11"/>
        <color rgb="FF000000"/>
        <rFont val="Aptos Narrow"/>
        <family val="2"/>
        <scheme val="minor"/>
      </rPr>
      <t xml:space="preserve">16 Jan:
Murad:
</t>
    </r>
    <r>
      <rPr>
        <sz val="11"/>
        <color rgb="FF000000"/>
        <rFont val="Aptos Narrow"/>
        <family val="2"/>
        <scheme val="minor"/>
      </rPr>
      <t>- They have an idea -- Murad not aware of the updates
- Reach out to WFP - Ally on this progress for TF meeting
- Lauren from WFP focal point</t>
    </r>
  </si>
  <si>
    <t xml:space="preserve"> - Priority contexts confirmed and monitored?
- Division of roles and sequencing applied in practice?
- Duplication reduced and coordination improved?
- Evidence and examples of aligned delivery collected?
- Short lessons note drafted and shared?</t>
  </si>
  <si>
    <t xml:space="preserve">Filippo Grandi, HC UNHCR, grandi@unhcr.org;
Amy Pope, Director General, International Organization for Migration (IOM) - dg@iom.int
</t>
  </si>
  <si>
    <t>Shahrzad Tadjbakhsh, Director, Division of International Protection, UNHCR, tadjbakh@unhcr.org;
Ugochi Daniels, Deputy Director General for Operations, IOM, udaniels@iom.int;
Hansjoerg Strohmeyer, Policy Director, OCHA, strohmeyerh@un.org</t>
  </si>
  <si>
    <t>UNHCR; IOM; OCHA</t>
  </si>
  <si>
    <t>2–3 priority contexts are selected for agreement on context-specific approaches to enhance complementary operationalization of the Route-Based Approach, with comprehensive and connected interventions along routes</t>
  </si>
  <si>
    <t>In those contexts, complementarity is demonstrated by UNHCR and IOM in operationalizing Route-Based programming, with clear roles, planning and coordination, and practical observations and lessons are shared with UN80 bodies</t>
  </si>
  <si>
    <t xml:space="preserve">Benefits of complementarity demonstrated along priority routes </t>
  </si>
  <si>
    <r>
      <rPr>
        <b/>
        <sz val="11"/>
        <color rgb="FF000000"/>
        <rFont val="Aptos Narrow"/>
        <family val="2"/>
        <scheme val="minor"/>
      </rPr>
      <t xml:space="preserve">16 Jan:
Murad:
</t>
    </r>
    <r>
      <rPr>
        <sz val="11"/>
        <color rgb="FF000000"/>
        <rFont val="Aptos Narrow"/>
        <family val="2"/>
        <scheme val="minor"/>
      </rPr>
      <t>- No update here yet -- will have check-in again early next week</t>
    </r>
  </si>
  <si>
    <t xml:space="preserve"> - Complementarity in selected contexts assessed?
- Roles and sequencing applied in practice?
- Parallel efforts reduced?
- Evidence of improved joint delivery collected?
- Lessons captured and shared with UN80?</t>
  </si>
  <si>
    <t xml:space="preserve">Filippo Grandi, HC UNHCR, grandi@unhcr.org;
Amy Pope, Director General IOM, dg@iom.int;
Catherine Russell, ED UNICEF, crussell@unicef.org;
Cindy McCain, ED WFP cindy.mccain@wfp.org
</t>
  </si>
  <si>
    <t>Ryan Beech, Head of Cash Operations, WFP, Ryan.Beech@wfp.org;
Hansjoerg Strohmeyer, Policy Director, OCHA, strohmeyerh@un.org;
UNICEF/IOM/HCR - To Be Confirmed</t>
  </si>
  <si>
    <t>UNHCR; IOM; UNICEF; WFP</t>
  </si>
  <si>
    <t>Agree on shared principles for beneficiary data interoperability, including privacy-by-design, consent, proportionality, and purpose limitation; identify 1–2 priority contexts for initial interoperability application across existing agency systems (e.g. HOPE, PRIMES, SCOPE, BRAVE), based on clearly defined operational use cases</t>
  </si>
  <si>
    <t>Demonstrate reduced duplication and improved service delivery in pilot contexts through secure, federated data exchange; document practical lessons learned and technical patterns to inform future scaling and policy discussions</t>
  </si>
  <si>
    <t>Benefits of federated, standards-based beneficiary data exchange demonstrated in priority contexts to inform scale-up</t>
  </si>
  <si>
    <r>
      <t xml:space="preserve">16 Jan:
Murad:
</t>
    </r>
    <r>
      <rPr>
        <sz val="11"/>
        <color theme="1"/>
        <rFont val="Aptos Narrow"/>
        <family val="2"/>
        <scheme val="minor"/>
      </rPr>
      <t>- No update here yet -- will have check-in again early next week</t>
    </r>
  </si>
  <si>
    <t xml:space="preserve"> - Pilot interoperability results reviewed?
- Duplication reduced and data flows assessed?
- Technical and operational issues captured?
- Benefits and constraints analyzed?
- Lessons-learned note drafted and shared?</t>
  </si>
  <si>
    <t xml:space="preserve">Catherine Russell, ED UNICEF, crussell@unicef.org;
Cindy McCain, ED WFP, cindy.mccain@wfp.org
</t>
  </si>
  <si>
    <t xml:space="preserve">Ted Chaiban, Deputy Executive Director, UNICEF, tchaiban@unicef.org;
Ilaria Dettori, Director, Nutrition Services, WFP, ilaria.dettori@wfp.org;
Hansjoerg Strohmeyer, Policy Director, OCHA, strohmeyerh@un.org
WHO 
</t>
  </si>
  <si>
    <t>UNICEF; WFP; OCHA; WHO</t>
  </si>
  <si>
    <t>Dedicated discussion held with relevant agencies, to identify priority areas where roles and responsibilities in health and nutrition emergency response require greater clarity (including health–nutrition interfaces and acute malnutrition response), with initial parameters agreed for complementarity</t>
  </si>
  <si>
    <t>Clearly defined roles and responsibilities for nutrition and health emergencies, developed separately under the respective Clusters, are compiled into concise reference material for field leadership and for Nutrition and Health Cluster partners respectively, with linkages between the two areas clearly described, and with factual observations shared with UN80 bodies</t>
  </si>
  <si>
    <t>Cluster-defined roles for health and nutrition emergencies consolidated into practical guidance material</t>
  </si>
  <si>
    <t xml:space="preserve"> - Roles and responsibilities finalized?
- Field-level guidance prepared and shared?
- Information disseminated to Member States?
- Coordination with Nutrition Cluster partners confirmed?
- Feedback from field actors collected?</t>
  </si>
  <si>
    <t>DSG; Administrator UNDP; ED UNOPS</t>
  </si>
  <si>
    <t xml:space="preserve">Amina Mohammed, DSG, amina.mohammed@un.org;
Jorge Moreira Da Silva, USG UNOPS, jorge.moreiradasilva@unops.org;
Alexander de Croo, Administrator UNDP, alexander.de.croo@undp.org 
</t>
  </si>
  <si>
    <t>EOSG (ODSG); UNDP; UNOPS</t>
  </si>
  <si>
    <t>Draft initial assessment analysis of the ‘as is’ with high level merger proposal, pros, cons, risk analysis for internal consultations completed</t>
  </si>
  <si>
    <t>Initial analysis for the assessment completed for the Secretary-General's consideration</t>
  </si>
  <si>
    <r>
      <rPr>
        <b/>
        <sz val="11"/>
        <color theme="1"/>
        <rFont val="Aptos Narrow"/>
        <family val="2"/>
        <scheme val="minor"/>
      </rPr>
      <t>17 Dec</t>
    </r>
    <r>
      <rPr>
        <sz val="11"/>
        <color theme="1"/>
        <rFont val="Aptos Narrow"/>
        <family val="2"/>
        <scheme val="minor"/>
      </rPr>
      <t xml:space="preserve">:
- </t>
    </r>
    <r>
      <rPr>
        <b/>
        <sz val="11"/>
        <color theme="1"/>
        <rFont val="Aptos Narrow"/>
        <family val="2"/>
        <scheme val="minor"/>
      </rPr>
      <t>Jorge</t>
    </r>
    <r>
      <rPr>
        <sz val="11"/>
        <color theme="1"/>
        <rFont val="Aptos Narrow"/>
        <family val="2"/>
        <scheme val="minor"/>
      </rPr>
      <t xml:space="preserve">: when meeting with DSG the direction was merge to a new entity 
- </t>
    </r>
    <r>
      <rPr>
        <b/>
        <sz val="11"/>
        <color theme="1"/>
        <rFont val="Aptos Narrow"/>
        <family val="2"/>
        <scheme val="minor"/>
      </rPr>
      <t>GR</t>
    </r>
    <r>
      <rPr>
        <sz val="11"/>
        <color theme="1"/>
        <rFont val="Aptos Narrow"/>
        <family val="2"/>
        <scheme val="minor"/>
      </rPr>
      <t>: Agree on mapping external or not --&gt;</t>
    </r>
    <r>
      <rPr>
        <b/>
        <sz val="11"/>
        <color theme="1"/>
        <rFont val="Aptos Narrow"/>
        <family val="2"/>
        <scheme val="minor"/>
      </rPr>
      <t>Jorge</t>
    </r>
    <r>
      <rPr>
        <sz val="11"/>
        <color theme="1"/>
        <rFont val="Aptos Narrow"/>
        <family val="2"/>
        <scheme val="minor"/>
      </rPr>
      <t xml:space="preserve">: integrate policy, finance, ops
- </t>
    </r>
    <r>
      <rPr>
        <b/>
        <sz val="11"/>
        <color theme="1"/>
        <rFont val="Aptos Narrow"/>
        <family val="2"/>
        <scheme val="minor"/>
      </rPr>
      <t>Haoliang</t>
    </r>
    <r>
      <rPr>
        <sz val="11"/>
        <color theme="1"/>
        <rFont val="Aptos Narrow"/>
        <family val="2"/>
        <scheme val="minor"/>
      </rPr>
      <t xml:space="preserve">: need help for independent review, critical exam as option
- </t>
    </r>
    <r>
      <rPr>
        <b/>
        <sz val="11"/>
        <color theme="1"/>
        <rFont val="Aptos Narrow"/>
        <family val="2"/>
        <scheme val="minor"/>
      </rPr>
      <t>Jorge</t>
    </r>
    <r>
      <rPr>
        <sz val="11"/>
        <color theme="1"/>
        <rFont val="Aptos Narrow"/>
        <family val="2"/>
        <scheme val="minor"/>
      </rPr>
      <t xml:space="preserve">: EB UNDP/UNOPS/UNFPA in Feb not to bring in that session to not paralyze other sessions -- ideally separate sessions in merger end of Feb
- </t>
    </r>
    <r>
      <rPr>
        <b/>
        <sz val="11"/>
        <color theme="1"/>
        <rFont val="Aptos Narrow"/>
        <family val="2"/>
        <scheme val="minor"/>
      </rPr>
      <t>Haoliang</t>
    </r>
    <r>
      <rPr>
        <sz val="11"/>
        <color theme="1"/>
        <rFont val="Aptos Narrow"/>
        <family val="2"/>
        <scheme val="minor"/>
      </rPr>
      <t xml:space="preserve">: diff session so need to reach out/approach to ED Board Bureau -- steps need to take soon
- </t>
    </r>
    <r>
      <rPr>
        <b/>
        <sz val="11"/>
        <color theme="1"/>
        <rFont val="Aptos Narrow"/>
        <family val="2"/>
        <scheme val="minor"/>
      </rPr>
      <t>Elinor</t>
    </r>
    <r>
      <rPr>
        <sz val="11"/>
        <color theme="1"/>
        <rFont val="Aptos Narrow"/>
        <family val="2"/>
        <scheme val="minor"/>
      </rPr>
      <t>: put into process documents -- documents to go to SG then MS; important to change language</t>
    </r>
  </si>
  <si>
    <t xml:space="preserve"> - Final assessment report completed and cleared?
- Options and recommendations clearly presented to Member States?
- GA decision and guidance formally recorded?
- Follow-up implications for UNDP and UNOPS mapped?
- Next steps for implementation communicated?</t>
  </si>
  <si>
    <t>DSG; ED UNFPA; ED UN Women</t>
  </si>
  <si>
    <t>EOSG (ODSG); UN Women; UNFPA</t>
  </si>
  <si>
    <t>Initial merger assessment completed for the Secretary-General's consideration</t>
  </si>
  <si>
    <r>
      <rPr>
        <b/>
        <sz val="11"/>
        <color theme="1"/>
        <rFont val="Aptos Narrow"/>
        <family val="2"/>
        <scheme val="minor"/>
      </rPr>
      <t>17 Dec</t>
    </r>
    <r>
      <rPr>
        <sz val="11"/>
        <color theme="1"/>
        <rFont val="Aptos Narrow"/>
        <family val="2"/>
        <scheme val="minor"/>
      </rPr>
      <t xml:space="preserve">:
- </t>
    </r>
    <r>
      <rPr>
        <b/>
        <sz val="11"/>
        <color theme="1"/>
        <rFont val="Aptos Narrow"/>
        <family val="2"/>
        <scheme val="minor"/>
      </rPr>
      <t>Sima</t>
    </r>
    <r>
      <rPr>
        <sz val="11"/>
        <color theme="1"/>
        <rFont val="Aptos Narrow"/>
        <family val="2"/>
        <scheme val="minor"/>
      </rPr>
      <t xml:space="preserve">: suggest DSG/SG talks abt merger separately too; needs comms that are aligned abt strengthening gender equality not liquidity; messaging on GEA
- </t>
    </r>
    <r>
      <rPr>
        <b/>
        <sz val="11"/>
        <color theme="1"/>
        <rFont val="Aptos Narrow"/>
        <family val="2"/>
        <scheme val="minor"/>
      </rPr>
      <t>Diane</t>
    </r>
    <r>
      <rPr>
        <sz val="11"/>
        <color theme="1"/>
        <rFont val="Aptos Narrow"/>
        <family val="2"/>
        <scheme val="minor"/>
      </rPr>
      <t xml:space="preserve">: assmt should show case complimentarity of mandates
- </t>
    </r>
    <r>
      <rPr>
        <b/>
        <sz val="11"/>
        <color theme="1"/>
        <rFont val="Aptos Narrow"/>
        <family val="2"/>
        <scheme val="minor"/>
      </rPr>
      <t>Sima</t>
    </r>
    <r>
      <rPr>
        <sz val="11"/>
        <color theme="1"/>
        <rFont val="Aptos Narrow"/>
        <family val="2"/>
        <scheme val="minor"/>
      </rPr>
      <t xml:space="preserve">: population will be discussed (ICPD)
- </t>
    </r>
    <r>
      <rPr>
        <b/>
        <sz val="11"/>
        <color theme="1"/>
        <rFont val="Aptos Narrow"/>
        <family val="2"/>
        <scheme val="minor"/>
      </rPr>
      <t>Diane</t>
    </r>
    <r>
      <rPr>
        <sz val="11"/>
        <color theme="1"/>
        <rFont val="Aptos Narrow"/>
        <family val="2"/>
        <scheme val="minor"/>
      </rPr>
      <t xml:space="preserve">: population survey re women incl. habitat etc; data on women in hum setting critical not to be confused from other data -- DESA can't do it not on the ground
- </t>
    </r>
    <r>
      <rPr>
        <b/>
        <sz val="11"/>
        <color theme="1"/>
        <rFont val="Aptos Narrow"/>
        <family val="2"/>
        <scheme val="minor"/>
      </rPr>
      <t>Sima</t>
    </r>
    <r>
      <rPr>
        <sz val="11"/>
        <color theme="1"/>
        <rFont val="Aptos Narrow"/>
        <family val="2"/>
        <scheme val="minor"/>
      </rPr>
      <t xml:space="preserve">: segregation of data collctn -- who is going to be responsible of data collection
- </t>
    </r>
    <r>
      <rPr>
        <b/>
        <sz val="11"/>
        <color theme="1"/>
        <rFont val="Aptos Narrow"/>
        <family val="2"/>
        <scheme val="minor"/>
      </rPr>
      <t>Guy</t>
    </r>
    <r>
      <rPr>
        <sz val="11"/>
        <color theme="1"/>
        <rFont val="Aptos Narrow"/>
        <family val="2"/>
        <scheme val="minor"/>
      </rPr>
      <t xml:space="preserve">: assessment has to be with vision statement (why this merger and not others); where assessment goes?
- </t>
    </r>
    <r>
      <rPr>
        <b/>
        <sz val="11"/>
        <color theme="1"/>
        <rFont val="Aptos Narrow"/>
        <family val="2"/>
        <scheme val="minor"/>
      </rPr>
      <t>Sima</t>
    </r>
    <r>
      <rPr>
        <sz val="11"/>
        <color theme="1"/>
        <rFont val="Aptos Narrow"/>
        <family val="2"/>
        <scheme val="minor"/>
      </rPr>
      <t>: assessment fo to SG by 19 Jan</t>
    </r>
  </si>
  <si>
    <t xml:space="preserve"> - Final assessment report completed and cleared?
- Options, risks and benefits clearly presented?
- Member States briefed on key findings?
- Inputs from Member States captured before GA decision?
- Next steps contingent on GA decision outlined?</t>
  </si>
  <si>
    <t>As part of strategic merger assessment (action 27), initial assessment of the UN system’s work on population statistics and related activities finalized for the Secretary-General's consideration</t>
  </si>
  <si>
    <t xml:space="preserve"> - Scope and methodology agreed?
- UNFPA/DESA roles and functions mapped?
- Options and implications analyzed?
- Findings aligned with broader merger assessment?
- Final integrated assessment validated?</t>
  </si>
  <si>
    <t>EOSG (ODSG); UNOPS; UNSDG</t>
  </si>
  <si>
    <t xml:space="preserve">Recommendations on country configuration finalized for Secretary-General’s consideration, and relayed to Member States in the most appropriate format. </t>
  </si>
  <si>
    <t>System-wide working group convened and building blocks for proposals for UN country teams reconfiguration finalized for the Secretary-General's consideration</t>
  </si>
  <si>
    <r>
      <rPr>
        <b/>
        <sz val="11"/>
        <color theme="1"/>
        <rFont val="Aptos Narrow"/>
        <family val="2"/>
        <scheme val="minor"/>
      </rPr>
      <t>17 Dec:</t>
    </r>
    <r>
      <rPr>
        <sz val="11"/>
        <color theme="1"/>
        <rFont val="Aptos Narrow"/>
        <family val="2"/>
        <scheme val="minor"/>
      </rPr>
      <t xml:space="preserve">
- </t>
    </r>
    <r>
      <rPr>
        <b/>
        <sz val="11"/>
        <color theme="1"/>
        <rFont val="Aptos Narrow"/>
        <family val="2"/>
        <scheme val="minor"/>
      </rPr>
      <t xml:space="preserve">Jens: </t>
    </r>
    <r>
      <rPr>
        <sz val="11"/>
        <color theme="1"/>
        <rFont val="Aptos Narrow"/>
        <family val="2"/>
        <scheme val="minor"/>
      </rPr>
      <t xml:space="preserve">DSG preparing new roadmap of consultation for this package
- </t>
    </r>
    <r>
      <rPr>
        <b/>
        <sz val="11"/>
        <color theme="1"/>
        <rFont val="Aptos Narrow"/>
        <family val="2"/>
        <scheme val="minor"/>
      </rPr>
      <t>Jorge</t>
    </r>
    <r>
      <rPr>
        <sz val="11"/>
        <color theme="1"/>
        <rFont val="Aptos Narrow"/>
        <family val="2"/>
        <scheme val="minor"/>
      </rPr>
      <t xml:space="preserve">: more alignment from MS on this topic; questions on fx, capability, etc.; draft outline shared with DSG establishing recs; move to proper draft; will be for SG desk 7 Jan
- </t>
    </r>
    <r>
      <rPr>
        <b/>
        <sz val="11"/>
        <color theme="1"/>
        <rFont val="Aptos Narrow"/>
        <family val="2"/>
        <scheme val="minor"/>
      </rPr>
      <t>Jorge</t>
    </r>
    <r>
      <rPr>
        <sz val="11"/>
        <color theme="1"/>
        <rFont val="Aptos Narrow"/>
        <family val="2"/>
        <scheme val="minor"/>
      </rPr>
      <t xml:space="preserve">: when should engage with UNSDG; ideally before SG desk
- </t>
    </r>
    <r>
      <rPr>
        <b/>
        <sz val="11"/>
        <color theme="1"/>
        <rFont val="Aptos Narrow"/>
        <family val="2"/>
        <scheme val="minor"/>
      </rPr>
      <t>USG</t>
    </r>
    <r>
      <rPr>
        <sz val="11"/>
        <color theme="1"/>
        <rFont val="Aptos Narrow"/>
        <family val="2"/>
        <scheme val="minor"/>
      </rPr>
      <t xml:space="preserve">: surge capacity from specialized agencies or other entities
- </t>
    </r>
    <r>
      <rPr>
        <b/>
        <sz val="11"/>
        <color theme="1"/>
        <rFont val="Aptos Narrow"/>
        <family val="2"/>
        <scheme val="minor"/>
      </rPr>
      <t>Oscar</t>
    </r>
    <r>
      <rPr>
        <sz val="11"/>
        <color theme="1"/>
        <rFont val="Aptos Narrow"/>
        <family val="2"/>
        <scheme val="minor"/>
      </rPr>
      <t xml:space="preserve">: Global RC meeting mentioned DCO 2.0; how hub to be constituted
</t>
    </r>
  </si>
  <si>
    <t xml:space="preserve"> - Final proposals consolidated for Member State review?
- Comments from Member States addressed?
- Decision or guidance formally recorded?
- Implications for country team configuration clarified?
- Next steps for implementation outlined?</t>
  </si>
  <si>
    <t>EOSG (ODSG); DCO; UNSDG</t>
  </si>
  <si>
    <t>The parameters for the recalibration of the RC system defined (e.g., change in DCO structure, more tailored approach)</t>
  </si>
  <si>
    <t>All measures to recalibrate the RC system (DCO 2.0) implemented, under the Secretary-General’s authority, reflecting guidance from the appropriate legislative bodies</t>
  </si>
  <si>
    <t>Initial proposal for strengthening and recalibrating of the RC system prepared for Secretary-General's consideration</t>
  </si>
  <si>
    <t xml:space="preserve"> - Recalibration measures fully implemented?
- Funding model proposal finalized?
- GA decision on funding model recorded?
- Roles and capacities across RC system updated?
- Next steps for sustained rollout confirmed?</t>
  </si>
  <si>
    <t>EOSG (ODSG); ODA; UNSDG</t>
  </si>
  <si>
    <t xml:space="preserve">All aspects of the regional reset under SG prerogative implemented and proposals presented to Member States on aspects requiring new mandates </t>
  </si>
  <si>
    <t>System-wide working group convened and proposal for a regional reset of capacities for sustainable development and institutionalization of Regional Integrated Platforms shared with the Secretary-General for his consideration</t>
  </si>
  <si>
    <r>
      <rPr>
        <b/>
        <sz val="11"/>
        <color theme="1"/>
        <rFont val="Aptos Narrow"/>
        <family val="2"/>
        <scheme val="minor"/>
      </rPr>
      <t xml:space="preserve">12 Jan - UNSDG Meeting:
</t>
    </r>
    <r>
      <rPr>
        <sz val="11"/>
        <color theme="1"/>
        <rFont val="Aptos Narrow"/>
        <family val="2"/>
        <scheme val="minor"/>
      </rPr>
      <t xml:space="preserve">- Expertise on demand part of regional reset discussion
</t>
    </r>
    <r>
      <rPr>
        <b/>
        <sz val="11"/>
        <color theme="1"/>
        <rFont val="Aptos Narrow"/>
        <family val="2"/>
        <scheme val="minor"/>
      </rPr>
      <t xml:space="preserve">
17 Dec:</t>
    </r>
    <r>
      <rPr>
        <sz val="11"/>
        <color theme="1"/>
        <rFont val="Aptos Narrow"/>
        <family val="2"/>
        <scheme val="minor"/>
      </rPr>
      <t xml:space="preserve">
- </t>
    </r>
    <r>
      <rPr>
        <b/>
        <sz val="11"/>
        <color theme="1"/>
        <rFont val="Aptos Narrow"/>
        <family val="2"/>
        <scheme val="minor"/>
      </rPr>
      <t>Jens</t>
    </r>
    <r>
      <rPr>
        <sz val="11"/>
        <color theme="1"/>
        <rFont val="Aptos Narrow"/>
        <family val="2"/>
        <scheme val="minor"/>
      </rPr>
      <t xml:space="preserve">: packed to DSG meeting on technical issue
- </t>
    </r>
    <r>
      <rPr>
        <b/>
        <sz val="11"/>
        <color theme="1"/>
        <rFont val="Aptos Narrow"/>
        <family val="2"/>
        <scheme val="minor"/>
      </rPr>
      <t>Izumi</t>
    </r>
    <r>
      <rPr>
        <sz val="11"/>
        <color theme="1"/>
        <rFont val="Aptos Narrow"/>
        <family val="2"/>
        <scheme val="minor"/>
      </rPr>
      <t xml:space="preserve">: funding is essential for th regional reset; engaged with regional RCs and heads of regional directors -- most difficult and sensitive; divergent views what's optimal; 2 ODA working with DSG and DCO teams -- entity-level consultation meeting; SDG meeting in Jan
- </t>
    </r>
    <r>
      <rPr>
        <b/>
        <sz val="11"/>
        <color theme="1"/>
        <rFont val="Aptos Narrow"/>
        <family val="2"/>
        <scheme val="minor"/>
      </rPr>
      <t>Izumi</t>
    </r>
    <r>
      <rPr>
        <sz val="11"/>
        <color theme="1"/>
        <rFont val="Aptos Narrow"/>
        <family val="2"/>
        <scheme val="minor"/>
      </rPr>
      <t xml:space="preserve">: w/o UN80 alrd move to regionalization or MCO config -- alrd relocating so add further complication -- hopefully UNSDG Jan meeting can help -- need to be cross-pillar attendance
- </t>
    </r>
    <r>
      <rPr>
        <b/>
        <sz val="11"/>
        <color theme="1"/>
        <rFont val="Aptos Narrow"/>
        <family val="2"/>
        <scheme val="minor"/>
      </rPr>
      <t>Oscar</t>
    </r>
    <r>
      <rPr>
        <sz val="11"/>
        <color theme="1"/>
        <rFont val="Aptos Narrow"/>
        <family val="2"/>
        <scheme val="minor"/>
      </rPr>
      <t xml:space="preserve">: hubs and surge needs to align; planning, crisis response, strategy, coop framework need to come together
- </t>
    </r>
    <r>
      <rPr>
        <b/>
        <sz val="11"/>
        <color theme="1"/>
        <rFont val="Aptos Narrow"/>
        <family val="2"/>
        <scheme val="minor"/>
      </rPr>
      <t>Diane</t>
    </r>
    <r>
      <rPr>
        <sz val="11"/>
        <color theme="1"/>
        <rFont val="Aptos Narrow"/>
        <family val="2"/>
        <scheme val="minor"/>
      </rPr>
      <t xml:space="preserve">: RC and region footprints different -- resource mobilization to be moved in all levels differently
- </t>
    </r>
    <r>
      <rPr>
        <b/>
        <sz val="11"/>
        <color theme="1"/>
        <rFont val="Aptos Narrow"/>
        <family val="2"/>
        <scheme val="minor"/>
      </rPr>
      <t>Guy</t>
    </r>
    <r>
      <rPr>
        <sz val="11"/>
        <color theme="1"/>
        <rFont val="Aptos Narrow"/>
        <family val="2"/>
        <scheme val="minor"/>
      </rPr>
      <t xml:space="preserve">: due date </t>
    </r>
    <r>
      <rPr>
        <b/>
        <sz val="11"/>
        <color theme="1"/>
        <rFont val="Aptos Narrow"/>
        <family val="2"/>
        <scheme val="minor"/>
      </rPr>
      <t>7 Jan</t>
    </r>
    <r>
      <rPr>
        <sz val="11"/>
        <color theme="1"/>
        <rFont val="Aptos Narrow"/>
        <family val="2"/>
        <scheme val="minor"/>
      </rPr>
      <t xml:space="preserve">
- </t>
    </r>
    <r>
      <rPr>
        <b/>
        <sz val="11"/>
        <color theme="1"/>
        <rFont val="Aptos Narrow"/>
        <family val="2"/>
        <scheme val="minor"/>
      </rPr>
      <t>Jens</t>
    </r>
    <r>
      <rPr>
        <sz val="11"/>
        <color theme="1"/>
        <rFont val="Aptos Narrow"/>
        <family val="2"/>
        <scheme val="minor"/>
      </rPr>
      <t>: funding mech WP can share baseline data in mid-Jan -- can be used in UNCT, reset, RIP; how do finance country and regional; biz model for EOD can be input to these discussions</t>
    </r>
  </si>
  <si>
    <t xml:space="preserve"> - Final regional reset proposals consolidated?
- Inputs from Member States addressed?
- Decisions on mandate-related elements recorded?
- SG-prerogative measures fully implemented?
- Next steps for systemwide rollout clarified?</t>
  </si>
  <si>
    <t>EOSG (ODSG); ODA; DCO; UNSDG</t>
  </si>
  <si>
    <t>Proposal for hosting regional capacities within the regional economic commissions is developed for the Secretary-General's consideration</t>
  </si>
  <si>
    <t xml:space="preserve"> - Offices and teams for relocation confirmed?
- Regional implementation plans executed as scheduled?
- Administrative and HR transitions underway?
- Hosting arrangements with RECs operational?
- Progress against regional timelines tracked and documented?</t>
  </si>
  <si>
    <t>USG DESA; SG UNCTAD</t>
  </si>
  <si>
    <t>DESA; UNCTAD</t>
  </si>
  <si>
    <t>Concept note delivered for the Secretary-General's consideration</t>
  </si>
  <si>
    <r>
      <rPr>
        <b/>
        <sz val="11"/>
        <color theme="1"/>
        <rFont val="Aptos Narrow"/>
        <family val="2"/>
        <scheme val="minor"/>
      </rPr>
      <t xml:space="preserve">14 Jan:
Rebeca:
</t>
    </r>
    <r>
      <rPr>
        <sz val="11"/>
        <color theme="1"/>
        <rFont val="Aptos Narrow"/>
        <family val="2"/>
        <scheme val="minor"/>
      </rPr>
      <t xml:space="preserve">- 1st meeting endorsed concept note; broad interest in participation (16 Dec) - 22 entities expressed interest -- 25 entities now apart from UNCTAD/DESA
- Issues: agreement on overall direction; how different from existing platforms; require physical location; linkage with WP8
- 12 proposals: aero, climate change, crit min, inequality, scien, strat foresight, infra, sust fund, SME, demographic foresight, pop dynamics, productive transform
- Next steps: survey sent to entities; output and value added of Hubs; potential overlaps &amp; complementarity; addtnl thematic ideas (by end of Jan)
- Based on survey, refine concept of Hubs -- identify 1st step of pilot Hubs
- Late Jan/end Feb: review survey and refine concept
- July: initial results for SG report
- Need more discussion with WP8 -- difference in scope: Hubs on policy. EOD on existing support in country. Hubs: joint policy advice, knowledge product. EOD service packages, tech support. Hubs long-term coherence, knowledge infra, MS needs. EOD demand-driven opertional support system
</t>
    </r>
    <r>
      <rPr>
        <b/>
        <sz val="11"/>
        <color theme="1"/>
        <rFont val="Aptos Narrow"/>
        <family val="2"/>
        <scheme val="minor"/>
      </rPr>
      <t xml:space="preserve">Movses: </t>
    </r>
    <r>
      <rPr>
        <sz val="11"/>
        <color theme="1"/>
        <rFont val="Aptos Narrow"/>
        <family val="2"/>
        <scheme val="minor"/>
      </rPr>
      <t xml:space="preserve">
- 2 issues: Language on "establish Hub" will trigger MS -- are we presenting SG report to whom, when? Part of PPB 2027 vision thinking. If Aug late for consideration, skipping ECOSOC
</t>
    </r>
    <r>
      <rPr>
        <b/>
        <sz val="11"/>
        <color theme="1"/>
        <rFont val="Aptos Narrow"/>
        <family val="2"/>
        <scheme val="minor"/>
      </rPr>
      <t xml:space="preserve">Guy: </t>
    </r>
    <r>
      <rPr>
        <sz val="11"/>
        <color theme="1"/>
        <rFont val="Aptos Narrow"/>
        <family val="2"/>
        <scheme val="minor"/>
      </rPr>
      <t xml:space="preserve">Thought abt interest long-term. Not duplicate platform. Bring to SC in Jan on substance
</t>
    </r>
    <r>
      <rPr>
        <b/>
        <sz val="11"/>
        <color theme="1"/>
        <rFont val="Aptos Narrow"/>
        <family val="2"/>
        <scheme val="minor"/>
      </rPr>
      <t xml:space="preserve">Rebeca: </t>
    </r>
    <r>
      <rPr>
        <sz val="11"/>
        <color theme="1"/>
        <rFont val="Aptos Narrow"/>
        <family val="2"/>
        <scheme val="minor"/>
      </rPr>
      <t xml:space="preserve">We have not yet endorsed all Hubs, bcs short survey only end of Jan. Go to SC when we know Hubs to maintain (not duplicative), stick to a list we agree on
</t>
    </r>
    <r>
      <rPr>
        <b/>
        <sz val="11"/>
        <color theme="1"/>
        <rFont val="Aptos Narrow"/>
        <family val="2"/>
        <scheme val="minor"/>
      </rPr>
      <t xml:space="preserve">Li: </t>
    </r>
    <r>
      <rPr>
        <sz val="11"/>
        <color theme="1"/>
        <rFont val="Aptos Narrow"/>
        <family val="2"/>
        <scheme val="minor"/>
      </rPr>
      <t xml:space="preserve">Agreed with what Rebeca said
</t>
    </r>
    <r>
      <rPr>
        <b/>
        <sz val="11"/>
        <color theme="1"/>
        <rFont val="Aptos Narrow"/>
        <family val="2"/>
        <scheme val="minor"/>
      </rPr>
      <t xml:space="preserve">Elinor: 
</t>
    </r>
    <r>
      <rPr>
        <sz val="11"/>
        <color theme="1"/>
        <rFont val="Aptos Narrow"/>
        <family val="2"/>
        <scheme val="minor"/>
      </rPr>
      <t xml:space="preserve">- Is the idea that each entity work on their own mndates? Outcome/results of Hubs will that be on existing mandate? Imply request for more results? 
- How the outcome is described to MS to put it into the right language
</t>
    </r>
    <r>
      <rPr>
        <b/>
        <sz val="11"/>
        <color theme="1"/>
        <rFont val="Aptos Narrow"/>
        <family val="2"/>
        <scheme val="minor"/>
      </rPr>
      <t xml:space="preserve">KJ: </t>
    </r>
    <r>
      <rPr>
        <sz val="11"/>
        <color theme="1"/>
        <rFont val="Aptos Narrow"/>
        <family val="2"/>
        <scheme val="minor"/>
      </rPr>
      <t xml:space="preserve">If it affects UN Sec, the place to signal the collab is in PPB 2027 -- should have placeholder language to open possibility of programme/collab b/w entities
</t>
    </r>
    <r>
      <rPr>
        <b/>
        <sz val="11"/>
        <color theme="1"/>
        <rFont val="Aptos Narrow"/>
        <family val="2"/>
        <scheme val="minor"/>
      </rPr>
      <t>Rebeca</t>
    </r>
    <r>
      <rPr>
        <sz val="11"/>
        <color theme="1"/>
        <rFont val="Aptos Narrow"/>
        <family val="2"/>
        <scheme val="minor"/>
      </rPr>
      <t xml:space="preserve">: 
- Not trigger PBI, still in mandates. They won't collab in all areas. No need for different mandates
- Prog of work different in diff entities -- find a way to justify 
</t>
    </r>
    <r>
      <rPr>
        <b/>
        <sz val="11"/>
        <color theme="1"/>
        <rFont val="Aptos Narrow"/>
        <family val="2"/>
        <scheme val="minor"/>
      </rPr>
      <t>Omar (UNICEF):</t>
    </r>
    <r>
      <rPr>
        <sz val="11"/>
        <color theme="1"/>
        <rFont val="Aptos Narrow"/>
        <family val="2"/>
        <scheme val="minor"/>
      </rPr>
      <t xml:space="preserve"> Resource implication difficult in current funding situation; any efforts in resourcing
</t>
    </r>
    <r>
      <rPr>
        <b/>
        <sz val="11"/>
        <color theme="1"/>
        <rFont val="Aptos Narrow"/>
        <family val="2"/>
        <scheme val="minor"/>
      </rPr>
      <t xml:space="preserve">KJ: </t>
    </r>
    <r>
      <rPr>
        <sz val="11"/>
        <color theme="1"/>
        <rFont val="Aptos Narrow"/>
        <family val="2"/>
        <scheme val="minor"/>
      </rPr>
      <t xml:space="preserve">Add collaboration language in strategy part of PPB doc
</t>
    </r>
    <r>
      <rPr>
        <b/>
        <sz val="11"/>
        <color theme="1"/>
        <rFont val="Aptos Narrow"/>
        <family val="2"/>
        <scheme val="minor"/>
      </rPr>
      <t xml:space="preserve">Guy: </t>
    </r>
    <r>
      <rPr>
        <sz val="11"/>
        <color theme="1"/>
        <rFont val="Aptos Narrow"/>
        <family val="2"/>
        <scheme val="minor"/>
      </rPr>
      <t xml:space="preserve">Is the idea of this Hub to aggregate work from diff entities? It's not new "place" just to aggregate
</t>
    </r>
    <r>
      <rPr>
        <b/>
        <sz val="11"/>
        <color theme="1"/>
        <rFont val="Aptos Narrow"/>
        <family val="2"/>
        <scheme val="minor"/>
      </rPr>
      <t xml:space="preserve">Rebeca: </t>
    </r>
    <r>
      <rPr>
        <sz val="11"/>
        <color theme="1"/>
        <rFont val="Aptos Narrow"/>
        <family val="2"/>
        <scheme val="minor"/>
      </rPr>
      <t>Your first option</t>
    </r>
  </si>
  <si>
    <t>SG ITU; Administrator UNDP</t>
  </si>
  <si>
    <t xml:space="preserve">Ms. Doreen Bogdan-Martin, SG ITU, sgo@itu.int;
Haoliang Xu, Administrator UNDP, haoliang.xu@undp.org;
Mr. Qu Dongyu, DG FAO, director-general@fao.org, dongyu.qu@fao.org;
Mr. Juan Carlos Salazar, SG ICAO, OSGinbox@icao.int, jsalazar@icao.int;
Mr. Gilbert F. Houngbo, DG ILO, ILODirector-General@ilo.org;
Mr Khaled El-Enany, DG UNESCO, dg.secretariat@unesco.org;
Gerd Müller, DG UNIDO, ODG@unido.org;
Mr. Tedros Adhanom Ghebreyesus, DG WHO, dgoffice@who.int;
Ms Celeste Saulo, SG WMO, sgomm@wmo.int;
Ms. Pamela Coke-Hamilton, ED and ASG ITC, cokehamilton@intracen.org, carrasco@intracen.org;
Sima Bahous, ED UN Women sima.bahous@unwomen.org;
Ms. Rebeca Grynspan, SG UNCTAD, rebeca.grynspan@unctad.org;
Mr. Jorge Moreira, Executive Director UNOPS, jorge.moreiradasilva@unops.org;
Mr. Li Junhua, USG DESA, junhua.li@un.org;
Mr. Claver Gatete, USG ECA, cgatete@un.org;
Ms. Tatiana Molcean, Executive Secretary ECE, tatiana.molcean@un.org;
Mr. Jose Manuel Salazar-Xirinachs, Executive Secretary ECLAC jose.salazarx@un.org;
Mr. Mourad Wahba, Acting Executive of ESCWA Secretary  mourad.wahba@un.org
</t>
  </si>
  <si>
    <t xml:space="preserve">Tomas Lamanauskas, DSG, ITU, dsg@itu.int;
Linda Maquire, ASG/Director Bureau for Management Services, UNDP, linda.maguire@undp.org;
Beth Crawford, ASG/Director Office of Strategy, Programme and Budget, FAO, beth.crawford@fao.org;
Michiel Vreedenburgh, Chief Transformation Officer, ICAO, MVreedenburgh@icao.int;
Laura Thompson, Assistant Director General External and Corporate Relations, ILO, thompsonl@ilo.org;
Jennifer Linkins, Assistant Director-General for Administration and Management, UNESCO, j.linkins@unesco.org;
Cecilia Ugaz Estrada, Deputy to the Director General, UNIDO, C.UGAZESTRADA@unido.org -tbc;
Bruce Aylward, Senior Advisor to the Director-General, WHO, aylwardb@who.int;
Ko Barrett, DSG, WMO, dsgo@wmo.int;
Mondher Mimouni, Director Division of Market Development, ITC, mimouni@intracen.org;
Nyaradzayi Gumbonzvanda. Deputy Executive Director Normative Support, System Coordination, Programme Results, UN Women, n.gumbonzvanda@unwomen.org;
Rahul Malhotra, -, UNOPS, rahulm@unops.org;
UNCTAD Tbc: 
Regional Commissions: 
Thilmeeza Hussain, -, ECA, thilmeeza.hussain@un.org;
Aboubakri Diaw, -, ECA, diaw2@un.org;
Paul John Ladd, -, ECE, paul.ladd@un.org;
Maisaa Youssef, -, ESCWA, youssef8@un.org;
Riwa Nasreddine, -, ESCWA, nasreddine@un.org;
Sandra De Freitas Manuelito  sandra.manuelito@cepal.org, ECLAC;
Support/Advisor:  
Jens Christian Wandel, SA Reform, jens.wandel@un.org
 </t>
  </si>
  <si>
    <t>ITU; UNDP; FAO; ICAO; ILO; UNESCO; UNIDO; WHO; WMO; ITC; UN Women; UNOPS; ECA; ECE; ESCWA; UNCTAD; DESA; EOSG (SA); ECLAC</t>
  </si>
  <si>
    <t>EOD mechanism ready for system-wide operationalization: catalogue &amp; protocols prepared for activation and institutionalization.</t>
  </si>
  <si>
    <t>Confirm added co-lead for WP; intermediate milestones available</t>
  </si>
  <si>
    <t>Expertise-on-demand approaches operational system-wide, including expertise catalogue and protocols</t>
  </si>
  <si>
    <r>
      <rPr>
        <b/>
        <sz val="11"/>
        <color theme="1"/>
        <rFont val="Aptos Narrow"/>
        <family val="2"/>
        <scheme val="minor"/>
      </rPr>
      <t xml:space="preserve">14 Jan:
Doreen:
</t>
    </r>
    <r>
      <rPr>
        <sz val="11"/>
        <color theme="1"/>
        <rFont val="Aptos Narrow"/>
        <family val="2"/>
        <scheme val="minor"/>
      </rPr>
      <t xml:space="preserve">- Approach: Marketplace comp pricing, catalogues to be very granular (follow WHO), funding approach (direct fee for substantive service), legal/agreement
- Concept design due 15 Jan -- ask for written input
- Principal meeting 28 Jan to endorse concept note
- Some operationalization ready by Sep
</t>
    </r>
    <r>
      <rPr>
        <b/>
        <sz val="11"/>
        <color theme="1"/>
        <rFont val="Aptos Narrow"/>
        <family val="2"/>
        <scheme val="minor"/>
      </rPr>
      <t xml:space="preserve">Guy: </t>
    </r>
    <r>
      <rPr>
        <sz val="11"/>
        <color theme="1"/>
        <rFont val="Aptos Narrow"/>
        <family val="2"/>
        <scheme val="minor"/>
      </rPr>
      <t xml:space="preserve">This is enabler for UNCT, Reg Reset. When to SC, what SG can push?
</t>
    </r>
    <r>
      <rPr>
        <b/>
        <sz val="11"/>
        <color theme="1"/>
        <rFont val="Aptos Narrow"/>
        <family val="2"/>
        <scheme val="minor"/>
      </rPr>
      <t xml:space="preserve">Doreen:
</t>
    </r>
    <r>
      <rPr>
        <sz val="11"/>
        <color theme="1"/>
        <rFont val="Aptos Narrow"/>
        <family val="2"/>
        <scheme val="minor"/>
      </rPr>
      <t xml:space="preserve">- Optimistic to endorse concept note on 28 Jan b/w principals then can present to SC
</t>
    </r>
    <r>
      <rPr>
        <b/>
        <sz val="11"/>
        <color theme="1"/>
        <rFont val="Aptos Narrow"/>
        <family val="2"/>
        <scheme val="minor"/>
      </rPr>
      <t xml:space="preserve">Guy: </t>
    </r>
    <r>
      <rPr>
        <sz val="11"/>
        <color theme="1"/>
        <rFont val="Aptos Narrow"/>
        <family val="2"/>
        <scheme val="minor"/>
      </rPr>
      <t xml:space="preserve">Pencil in SC Feb meeting
</t>
    </r>
    <r>
      <rPr>
        <b/>
        <sz val="11"/>
        <color theme="1"/>
        <rFont val="Aptos Narrow"/>
        <family val="2"/>
        <scheme val="minor"/>
      </rPr>
      <t xml:space="preserve">12 Jan - UNSDG Regional Reset:
ECLAC:
</t>
    </r>
    <r>
      <rPr>
        <sz val="11"/>
        <color theme="1"/>
        <rFont val="Aptos Narrow"/>
        <family val="2"/>
        <scheme val="minor"/>
      </rPr>
      <t>- Catalogues should be based on country demand
- Want to check concept note</t>
    </r>
    <r>
      <rPr>
        <b/>
        <sz val="11"/>
        <color theme="1"/>
        <rFont val="Aptos Narrow"/>
        <family val="2"/>
        <scheme val="minor"/>
      </rPr>
      <t xml:space="preserve">
DSG:
</t>
    </r>
    <r>
      <rPr>
        <sz val="11"/>
        <color theme="1"/>
        <rFont val="Aptos Narrow"/>
        <family val="2"/>
        <scheme val="minor"/>
      </rPr>
      <t>- Pilots need to be careful bcs no one-size-fits-all
- MCOs will be tough</t>
    </r>
    <r>
      <rPr>
        <b/>
        <sz val="11"/>
        <color theme="1"/>
        <rFont val="Aptos Narrow"/>
        <family val="2"/>
        <scheme val="minor"/>
      </rPr>
      <t xml:space="preserve">
Alexander:
</t>
    </r>
    <r>
      <rPr>
        <sz val="11"/>
        <color theme="1"/>
        <rFont val="Aptos Narrow"/>
        <family val="2"/>
        <scheme val="minor"/>
      </rPr>
      <t xml:space="preserve">- Guardrails: mandate integrity, RC maintain impartiality
- Use pilots </t>
    </r>
    <r>
      <rPr>
        <b/>
        <sz val="11"/>
        <color theme="1"/>
        <rFont val="Aptos Narrow"/>
        <family val="2"/>
        <scheme val="minor"/>
      </rPr>
      <t xml:space="preserve">
Doreen:
</t>
    </r>
    <r>
      <rPr>
        <sz val="11"/>
        <color theme="1"/>
        <rFont val="Aptos Narrow"/>
        <family val="2"/>
        <scheme val="minor"/>
      </rPr>
      <t xml:space="preserve">- UNDP asked to join to co-lead
- RECs joining as well
- Non-resident agencies; consolidate expertise on regional level
- Endorsement of concept (incl. operational concept) end of Jan; launch pilot by mid year; mechanism operationalized by Sep (institutionalized catalogues)
- Ways RCs can use catalogue, standardize contract, transparent fee, lower transx cost
- 1st meeting 15 Dec, 2nd 19 Jan (working level), principal end of Jan -- finalize concept
</t>
    </r>
    <r>
      <rPr>
        <b/>
        <sz val="11"/>
        <color theme="1"/>
        <rFont val="Aptos Narrow"/>
        <family val="2"/>
        <scheme val="minor"/>
      </rPr>
      <t xml:space="preserve">DSG:
</t>
    </r>
    <r>
      <rPr>
        <sz val="11"/>
        <color theme="1"/>
        <rFont val="Aptos Narrow"/>
        <family val="2"/>
        <scheme val="minor"/>
      </rPr>
      <t>- Include DMSPC?
- One UN -- go to UN expertise first not consultant</t>
    </r>
  </si>
  <si>
    <r>
      <rPr>
        <b/>
        <sz val="11"/>
        <color theme="1"/>
        <rFont val="Aptos Narrow"/>
        <family val="2"/>
        <scheme val="minor"/>
      </rPr>
      <t>12 Jan:</t>
    </r>
    <r>
      <rPr>
        <sz val="11"/>
        <color theme="1"/>
        <rFont val="Aptos Narrow"/>
        <family val="2"/>
        <scheme val="minor"/>
      </rPr>
      <t xml:space="preserve">
</t>
    </r>
    <r>
      <rPr>
        <b/>
        <sz val="11"/>
        <color theme="1"/>
        <rFont val="Aptos Narrow"/>
        <family val="2"/>
        <scheme val="minor"/>
      </rPr>
      <t xml:space="preserve">Mario:
</t>
    </r>
    <r>
      <rPr>
        <sz val="11"/>
        <color theme="1"/>
        <rFont val="Aptos Narrow"/>
        <family val="2"/>
        <scheme val="minor"/>
      </rPr>
      <t xml:space="preserve">- 28 Jan principal-level meeting
- Taking comments from UNSDG meeting
- From 1st meeting, alrd asked in writing what ideas they have
- Challenge: how to put all together, funding (consultancy from outside)
</t>
    </r>
    <r>
      <rPr>
        <b/>
        <sz val="11"/>
        <color theme="1"/>
        <rFont val="Aptos Narrow"/>
        <family val="2"/>
        <scheme val="minor"/>
      </rPr>
      <t xml:space="preserve">PU/KJ: </t>
    </r>
    <r>
      <rPr>
        <sz val="11"/>
        <color theme="1"/>
        <rFont val="Aptos Narrow"/>
        <family val="2"/>
        <scheme val="minor"/>
      </rPr>
      <t xml:space="preserve">any chance to discuss substance on SteerCo
</t>
    </r>
    <r>
      <rPr>
        <b/>
        <sz val="11"/>
        <color theme="1"/>
        <rFont val="Aptos Narrow"/>
        <family val="2"/>
        <scheme val="minor"/>
      </rPr>
      <t>Mario:</t>
    </r>
    <r>
      <rPr>
        <sz val="11"/>
        <color theme="1"/>
        <rFont val="Aptos Narrow"/>
        <family val="2"/>
        <scheme val="minor"/>
      </rPr>
      <t xml:space="preserve">
- DSG said catalogues not working -- so team will navigate how to not be dead in delivery
- Currently in listening mode
</t>
    </r>
    <r>
      <rPr>
        <b/>
        <sz val="11"/>
        <color theme="1"/>
        <rFont val="Aptos Narrow"/>
        <family val="2"/>
        <scheme val="minor"/>
      </rPr>
      <t xml:space="preserve">KJ: </t>
    </r>
    <r>
      <rPr>
        <sz val="11"/>
        <color theme="1"/>
        <rFont val="Aptos Narrow"/>
        <family val="2"/>
        <scheme val="minor"/>
      </rPr>
      <t>ask SG for direction and guidance</t>
    </r>
  </si>
  <si>
    <t xml:space="preserve"> - Expertise catalogue launched and accessible?
- Demand and deployment protocols operational?
- Uptake across agencies confirmed?
- Duplicative capacities reduced in practice?
- System-wide functionality validated?</t>
  </si>
  <si>
    <t xml:space="preserve">Tomas Lamanauskas, DSG, ITU, dsg@itu.int;
Linda Maquire, ASG/Director Bureau for Management Services, UNDP, linda.maguire@undp.org;
Beth Crawford, ASG/Director Office of Strategy, Programme and Budget, FAO, beth.crawford@fao.org;
Michiel Vreedenburgh, Chief Transformation Officer, ICAO, MVreedenburgh@icao.int;
Laura Thompson, Assistant Director General External and Corporate Relations, ILO, thompsonl@ilo.org;
Jennifer Linkins, Assistant Director-General for Administration and Management, UNESCO, j.linkins@unesco.org;
Cecilia Ugaz Estrada, Deputy to the Director General, UNIDO, C.UGAZESTRADA@unido.org -tbc;
Bruce Aylward, Senior Advisor to the Director-General, WHO, aylwardb@who.int;
Ko Barrett, DSG, WMO, dsgo@wmo.int;
Mondher Mimouni, Director Division of Market Development, ITC, mimouni@intracen.org;
Nyaradzayi Gumbonzvanda. Deputy Executive Director Normative Support, System Coordination, Programme Results, UN Women, n.gumbonzvanda@unwomen.org;
Rahul Malhotra, -, UNOPS, rahulm@unops.org;
UNCTAD Tbc:
Regional Commissions: 
Thilmeeza Hussain, -, ECA, thilmeeza.hussain@un.org;
Aboubakri Diaw, -, ECA, diaw2@un.org;
Paul John Ladd, -, ECE, paul.ladd@un.org;
Maisaa Youssef, -, ESCWA, youssef8@un.org;
Riwa Nasreddine, -, ESCWA, nasreddine@un.org;
Sandra De Freitas Manuelito  sandra.manuelito@cepal.org, ECLAC;
Support/Advisor:  
Jens Christian Wandel, SA Reform, jens.wandel@un.org
 </t>
  </si>
  <si>
    <t>Initiation of consultations on cross-pillar EOD extension for regional integrated platforms</t>
  </si>
  <si>
    <t>EOD ready to enable regional cross-pillar consolidation in integrated platforms: support framework in place</t>
  </si>
  <si>
    <t>Confirm added co-lead for WP</t>
  </si>
  <si>
    <t xml:space="preserve"> - Expertise catalogue launched regionally?
- Protocols for deployment institutionalized?
- Uptake across regional entities confirmed?
- Duplicative capacities reduced in practice?
- Systemwide functionality validated?</t>
  </si>
  <si>
    <t>Oscar Fernandez Taranco, ASG DCO, fernandez-taranco@un.org;
Rosemary Di Carlo, USG DPPA, rosemary.dicarlo@un.org;
Tom Fletcher, USG OCHA, fletcher@un.org;
Elinor Hammarskjold, USG OLA, hammarskjold@un.org;
Winifred Byanyima, USG UNAIDS, byanyimaw@unaids.org;
Inger Andersen, USG UNEP, inger.andersen@un.org;
Haoliang Xu, ASG UNDP, haoliang.xu@undp.org;
Diene Keita, USG UNFPA, keita@unfpa.org;
Filippo Grandi, USG UNHCR, grandi@unhcr.org;
Catherine Russell, ED UNICEF, crussell@unicef.org;
Sima Sami Bahous, ED UN WOMEN, sima.bahous@unwomen.org;
Khaled El-Enany, ED UNESCO, dg.office@unesco.org</t>
  </si>
  <si>
    <t>Brands Kehris, Assistant Secretary-General, OHCHR, ilze.brandskehris@un.org;
Karin Lucke, Senior Human Rights Officer, OHCHR, karin.lucke@un.org;
Kevin Turner, Senior Programme Management Officer, kevin.turner@un.org;
Dominique Bush, Special Assistant to the ASG, OHCHR, bushd@un.org</t>
  </si>
  <si>
    <t>OHCHR; DCO; DPPA; OCHA; OLA; UNAIDS; UNEP; UNDP; UNFPA; UNHCR; UNICEF; UNESCO; UN Women</t>
  </si>
  <si>
    <r>
      <rPr>
        <b/>
        <sz val="11"/>
        <color theme="1"/>
        <rFont val="Aptos Narrow"/>
        <family val="2"/>
        <scheme val="minor"/>
      </rPr>
      <t xml:space="preserve">16 Jan:
KJ: </t>
    </r>
    <r>
      <rPr>
        <sz val="11"/>
        <color theme="1"/>
        <rFont val="Aptos Narrow"/>
        <family val="2"/>
        <scheme val="minor"/>
      </rPr>
      <t>Tracking mechanism - on track off track need support</t>
    </r>
    <r>
      <rPr>
        <b/>
        <sz val="11"/>
        <color theme="1"/>
        <rFont val="Aptos Narrow"/>
        <family val="2"/>
        <scheme val="minor"/>
      </rPr>
      <t xml:space="preserve">
Karin:</t>
    </r>
    <r>
      <rPr>
        <sz val="11"/>
        <color theme="1"/>
        <rFont val="Aptos Narrow"/>
        <family val="2"/>
        <scheme val="minor"/>
      </rPr>
      <t xml:space="preserve"> Link between TF and SC meeting? What's get discussed in diff meeting?
</t>
    </r>
    <r>
      <rPr>
        <b/>
        <sz val="11"/>
        <color theme="1"/>
        <rFont val="Aptos Narrow"/>
        <family val="2"/>
        <scheme val="minor"/>
      </rPr>
      <t xml:space="preserve">KJ: </t>
    </r>
    <r>
      <rPr>
        <sz val="11"/>
        <color theme="1"/>
        <rFont val="Aptos Narrow"/>
        <family val="2"/>
        <scheme val="minor"/>
      </rPr>
      <t xml:space="preserve">
- TF clear agenda, four-weekly, progress on the action -- always in agenda every 4 weeks
- SC no recurring agenda depending on which needs push/decisions
</t>
    </r>
    <r>
      <rPr>
        <b/>
        <sz val="11"/>
        <color theme="1"/>
        <rFont val="Aptos Narrow"/>
        <family val="2"/>
        <scheme val="minor"/>
      </rPr>
      <t xml:space="preserve">Karin: </t>
    </r>
    <r>
      <rPr>
        <sz val="11"/>
        <color theme="1"/>
        <rFont val="Aptos Narrow"/>
        <family val="2"/>
        <scheme val="minor"/>
      </rPr>
      <t xml:space="preserve">Interconnections between work packages discussed in SC
</t>
    </r>
    <r>
      <rPr>
        <b/>
        <sz val="11"/>
        <color theme="1"/>
        <rFont val="Aptos Narrow"/>
        <family val="2"/>
        <scheme val="minor"/>
      </rPr>
      <t xml:space="preserve">KJ: </t>
    </r>
    <r>
      <rPr>
        <sz val="11"/>
        <color theme="1"/>
        <rFont val="Aptos Narrow"/>
        <family val="2"/>
        <scheme val="minor"/>
      </rPr>
      <t xml:space="preserve">Doesn't mean it not take place in other fora, e.g., UNSDG
</t>
    </r>
    <r>
      <rPr>
        <b/>
        <sz val="11"/>
        <color theme="1"/>
        <rFont val="Aptos Narrow"/>
        <family val="2"/>
        <scheme val="minor"/>
      </rPr>
      <t xml:space="preserve">PU: </t>
    </r>
    <r>
      <rPr>
        <sz val="11"/>
        <color theme="1"/>
        <rFont val="Aptos Narrow"/>
        <family val="2"/>
        <scheme val="minor"/>
      </rPr>
      <t xml:space="preserve">Could use SC or CEB to get commitments from system-wide Principals
</t>
    </r>
    <r>
      <rPr>
        <b/>
        <sz val="11"/>
        <color theme="1"/>
        <rFont val="Aptos Narrow"/>
        <family val="2"/>
        <scheme val="minor"/>
      </rPr>
      <t xml:space="preserve">Dominique: </t>
    </r>
    <r>
      <rPr>
        <sz val="11"/>
        <color theme="1"/>
        <rFont val="Aptos Narrow"/>
        <family val="2"/>
        <scheme val="minor"/>
      </rPr>
      <t xml:space="preserve">+1 allowed for both meetings
</t>
    </r>
    <r>
      <rPr>
        <b/>
        <sz val="11"/>
        <color theme="1"/>
        <rFont val="Aptos Narrow"/>
        <family val="2"/>
        <scheme val="minor"/>
      </rPr>
      <t xml:space="preserve">Karin:
</t>
    </r>
    <r>
      <rPr>
        <sz val="11"/>
        <color theme="1"/>
        <rFont val="Aptos Narrow"/>
        <family val="2"/>
        <scheme val="minor"/>
      </rPr>
      <t xml:space="preserve">- Convene 1st in Dec by Volker
- Survey amongst entities -- consolidated feedback
- Prep TOR for HRP -- deadline 16 Jan on draft TOR
- By 30 Jan draft TOR endorsed
</t>
    </r>
    <r>
      <rPr>
        <b/>
        <sz val="11"/>
        <color theme="1"/>
        <rFont val="Aptos Narrow"/>
        <family val="2"/>
        <scheme val="minor"/>
      </rPr>
      <t xml:space="preserve">KJ: </t>
    </r>
    <r>
      <rPr>
        <sz val="11"/>
        <color theme="1"/>
        <rFont val="Aptos Narrow"/>
        <family val="2"/>
        <scheme val="minor"/>
      </rPr>
      <t xml:space="preserve">Level of engagement from system; what's your idea of endorse -- could be TF or SC
</t>
    </r>
    <r>
      <rPr>
        <b/>
        <sz val="11"/>
        <color theme="1"/>
        <rFont val="Aptos Narrow"/>
        <family val="2"/>
        <scheme val="minor"/>
      </rPr>
      <t xml:space="preserve">Karin: 
- </t>
    </r>
    <r>
      <rPr>
        <sz val="11"/>
        <color theme="1"/>
        <rFont val="Aptos Narrow"/>
        <family val="2"/>
        <scheme val="minor"/>
      </rPr>
      <t xml:space="preserve">No clear answer to this yet
- Engagement 12 entities - protection mandates SRSG - theyll join WPs
- Have 17 members on WP
- 22 entities survey
- Will connect on upcoming CEB
</t>
    </r>
    <r>
      <rPr>
        <b/>
        <sz val="11"/>
        <color theme="1"/>
        <rFont val="Aptos Narrow"/>
        <family val="2"/>
        <scheme val="minor"/>
      </rPr>
      <t xml:space="preserve">KJ: </t>
    </r>
    <r>
      <rPr>
        <sz val="11"/>
        <color theme="1"/>
        <rFont val="Aptos Narrow"/>
        <family val="2"/>
        <scheme val="minor"/>
      </rPr>
      <t xml:space="preserve">PPB 2027
</t>
    </r>
    <r>
      <rPr>
        <b/>
        <sz val="11"/>
        <color theme="1"/>
        <rFont val="Aptos Narrow"/>
        <family val="2"/>
        <scheme val="minor"/>
      </rPr>
      <t xml:space="preserve">Karin: </t>
    </r>
    <r>
      <rPr>
        <sz val="11"/>
        <color theme="1"/>
        <rFont val="Aptos Narrow"/>
        <family val="2"/>
        <scheme val="minor"/>
      </rPr>
      <t>How CEB reflected on PPB?</t>
    </r>
  </si>
  <si>
    <t xml:space="preserve"> - TORs and structure finalized?
- Membership and leadership confirmed?
- Workplan and priorities agreed?
- Coordination mechanisms activated?
- Group formally launched and operational?</t>
  </si>
  <si>
    <t>Kersten Jauer, Deputy Director SPMU, EOSG, jauer@un.org</t>
  </si>
  <si>
    <t>EOSG (USG Policy); DCO; OCHA</t>
  </si>
  <si>
    <t>Coordination fora mapped and first draft baseline analytics prepared</t>
  </si>
  <si>
    <t>Initial actions prepared for the Secretary-General's consideration</t>
  </si>
  <si>
    <t>Initial proposals prepared for the Secretary-General's consideration</t>
  </si>
  <si>
    <t xml:space="preserve"> - Final streamlining options consolidated?
- Inputs from principals and fora leads addressed?
- Proposal refined for endorsement needs?
- Implementation implications clarified?
- Final proposal validated and readied for action?</t>
  </si>
  <si>
    <t xml:space="preserve"> - Final streamlining options consolidated?
- Inputs from involved entities addressed?
- Proposal refined for required endorsement?
- Operational and staffing implications clarified?
- Final proposal validated for implementation?</t>
  </si>
  <si>
    <t>Review existing interagency task forces and working groups and bring together all Headquarters coordination on country-specific, cross-pillar approaches to crisis prevention and centre capacities around the Regional Monthly Review platform</t>
  </si>
  <si>
    <t>Ayaka Suzuki, Director SPMU, EOSG, suzukia@un.org</t>
  </si>
  <si>
    <t>Confirm action members</t>
  </si>
  <si>
    <t xml:space="preserve"> - Existing task forces and groups mapped and reviewed?
- Streamlining options agreed across agencies?
- Redundant structures discontinued or merged?
- Alignment with Regional Monthly Review confirmed?
- New coordination arrangements documented?</t>
  </si>
  <si>
    <t>Guy Ryder, USG Policy, guy.ryder@un.org;
Karima El-Korri, Director SDU, elkorri@un.org</t>
  </si>
  <si>
    <t>EOSG (USG Policy); EOSG (ODSG)</t>
  </si>
  <si>
    <t>N/A</t>
  </si>
  <si>
    <t>Special Coordinator for Development in the Sahel post and its associated office abolished</t>
  </si>
  <si>
    <t>No longer relevant</t>
  </si>
  <si>
    <t>Decision taken</t>
  </si>
  <si>
    <t xml:space="preserve"> - Final roster changes consolidated?
- Justifications and implications clarified?
- Submission prepared for Member States?
- Decision or guidance formally recorded?
- Follow-up steps for implementation outlined?</t>
  </si>
  <si>
    <t>Ayaka Suzuki, Director SPMU, EOSG, suzukia@un.org; Diler Erdengiz, Programme Management Officer, EOSG, erdengiz@un.org</t>
  </si>
  <si>
    <t>Consideration of any changes in Special Envoy roster finalized by the Secretary-General</t>
  </si>
  <si>
    <t>Consideration of mapping of relevant positions by the Secretary-General</t>
  </si>
  <si>
    <t>ASG DCO; DSG</t>
  </si>
  <si>
    <t xml:space="preserve">Proposal developed as part of the overall proposal for a regional reset and shared with the Secretary-General for his consideration </t>
  </si>
  <si>
    <t xml:space="preserve">Proposal for the establishment of Regional Integrated Platforms developed as part of the overall proposal for a regional reset and shared with the Secretary-General for his consideration </t>
  </si>
  <si>
    <t xml:space="preserve"> - Final RIP design and related measures consolidated?
- Inputs from Member States addressed?
- Decisions on mandate-related elements recorded?
- SG-prerogative components fully implemented?
- Next steps for regional rollout clarified?</t>
  </si>
  <si>
    <t xml:space="preserve">Proposal for harmonization of UN system organizational arrangements developed as part of the overall proposal for regional reset and shared with the Secretary-General for his consideration </t>
  </si>
  <si>
    <t>USG OCHA; DSG</t>
  </si>
  <si>
    <t>EOSG (ODSG); OCHA; DCO</t>
  </si>
  <si>
    <t>Action plan for the Shared Platform Initiative on four specific priorities areas the SPI under the DSG and ERC leadership mention: co‑location of RCOs and OCHA offices, establishing joined-up performance management and accountability frameworks for multi‑hatted RC/HCs, and advancing joint strategies for transitions and advocacy in crisis‑affected settings with specific timelines for immediate implementation and progress report to the Secretary-General summarizing next steps finalized</t>
  </si>
  <si>
    <t>First progress report submitted to the Secretary-General covering the four areas: co-location of the offices, common performance management, clear accountabilty towards RC/HCs and joint strategies for transitions and advocacy, and the Action Plan drafted for Secretary-General’s guidance</t>
  </si>
  <si>
    <r>
      <t>16 Jan:
Kelly:</t>
    </r>
    <r>
      <rPr>
        <sz val="11"/>
        <color theme="1"/>
        <rFont val="Aptos Narrow"/>
        <family val="2"/>
        <scheme val="minor"/>
      </rPr>
      <t xml:space="preserve">
- Initial progress report to DSG -- but need to be revised - expecting to push the ambition again
</t>
    </r>
    <r>
      <rPr>
        <b/>
        <sz val="11"/>
        <color theme="1"/>
        <rFont val="Aptos Narrow"/>
        <family val="2"/>
        <scheme val="minor"/>
      </rPr>
      <t xml:space="preserve">KJ: </t>
    </r>
    <r>
      <rPr>
        <sz val="11"/>
        <color theme="1"/>
        <rFont val="Aptos Narrow"/>
        <family val="2"/>
        <scheme val="minor"/>
      </rPr>
      <t xml:space="preserve">Connect next week?
</t>
    </r>
    <r>
      <rPr>
        <b/>
        <sz val="11"/>
        <color theme="1"/>
        <rFont val="Aptos Narrow"/>
        <family val="2"/>
        <scheme val="minor"/>
      </rPr>
      <t xml:space="preserve">Kelly: </t>
    </r>
    <r>
      <rPr>
        <sz val="11"/>
        <color theme="1"/>
        <rFont val="Aptos Narrow"/>
        <family val="2"/>
        <scheme val="minor"/>
      </rPr>
      <t xml:space="preserve">
- Will ask Andreas again -- if it's not ready not useful to update
- Not ambitious enough: colocation if feasible -- not aligned to what in the report
- Others should be exception - general should be co-location
</t>
    </r>
  </si>
  <si>
    <t xml:space="preserve"> - Full set of shared platform initiatives confirmed?
- Rollout completed across required country contexts?
- Operational arrangements functioning as intended?
- Feedback from field and HQ incorporated?
- Implementation finalized and documented?</t>
  </si>
  <si>
    <t>EOSG (ODSG); OCHA; DPPA; DCO</t>
  </si>
  <si>
    <t>Draft proposal for simplifying country-level planning processes submitted for Secretary-General's consideration</t>
  </si>
  <si>
    <r>
      <rPr>
        <b/>
        <sz val="11"/>
        <color theme="1"/>
        <rFont val="Aptos Narrow"/>
        <family val="2"/>
        <scheme val="minor"/>
      </rPr>
      <t xml:space="preserve">14 Jan:
Kelly:
</t>
    </r>
    <r>
      <rPr>
        <sz val="11"/>
        <color theme="1"/>
        <rFont val="Aptos Narrow"/>
        <family val="2"/>
        <scheme val="minor"/>
      </rPr>
      <t>- 4 elements labeled in FPI
- Feb more detailed action plan -- linked on the planning element</t>
    </r>
  </si>
  <si>
    <r>
      <t>21 Jan:</t>
    </r>
    <r>
      <rPr>
        <sz val="11"/>
        <color theme="1"/>
        <rFont val="Aptos Narrow"/>
        <family val="2"/>
        <scheme val="minor"/>
      </rPr>
      <t xml:space="preserve">
- What does success look like?
- How is the planning process going to be different from before?</t>
    </r>
  </si>
  <si>
    <t xml:space="preserve"> - Final simplified planning model confirmed?
- Needs-analysis approach standardized system-wide?
- Guidance issued to RC/HCs and planning teams?
- Rollout completed across relevant contexts?
- Feedback gathered to refine the process?</t>
  </si>
  <si>
    <t>Chair HLCM; ED WFP; Co-Chairs BIG</t>
  </si>
  <si>
    <t>HLCM Chair/Vice-Chair / BIG-Co Chairs</t>
  </si>
  <si>
    <t xml:space="preserve">Remo Lalli, Secretary of the High-level Committee on Management (HLCM), Director of the the Geneva Office of the CEB Secretariat, remo.lalli@un.org;
Silvan Scheiwiller, Coordination Officer, CEB, scheiwiller@un.org;
Federico Calciolari, Associate Expert in Interagency Coordination, CEB, federico.calciolari@un.org;
Larai Musa, Chief, Business Management Branch, DCO, larai.musa@un.org;
Peride Blind, [xxx], [xxx], blind@un.org;
Antoine Sfeir, Executive Assistand, UNHCR, sfeira@unhcr.org;
Sara Adam, Director, Management Services Division, WFP, sara.adam@wfp.org </t>
  </si>
  <si>
    <t>HLCM; BIG; WFP; UNHCR; DCO</t>
  </si>
  <si>
    <t>Integration of HLCM’s Far-Reaching Efficiency Initiatives (FREIs) and BIG’s Global Shared Services (GSS) agenda into one single unified service roadmap outline</t>
  </si>
  <si>
    <t>Release of the outcome report on the Unified Services Roadmap, outlining progress, results and suggested next steps. (Progress report ready by 15 September 2026)</t>
  </si>
  <si>
    <t>Single Unified Service Roadmap outline submitted for Secretary-General's consideration</t>
  </si>
  <si>
    <r>
      <rPr>
        <b/>
        <sz val="11"/>
        <color theme="1"/>
        <rFont val="Aptos Narrow"/>
        <family val="2"/>
        <scheme val="minor"/>
      </rPr>
      <t>17 Dec:</t>
    </r>
    <r>
      <rPr>
        <sz val="11"/>
        <color theme="1"/>
        <rFont val="Aptos Narrow"/>
        <family val="2"/>
        <scheme val="minor"/>
      </rPr>
      <t xml:space="preserve">
</t>
    </r>
    <r>
      <rPr>
        <b/>
        <sz val="11"/>
        <color theme="1"/>
        <rFont val="Aptos Narrow"/>
        <family val="2"/>
        <scheme val="minor"/>
      </rPr>
      <t xml:space="preserve">- Remo: </t>
    </r>
    <r>
      <rPr>
        <sz val="11"/>
        <color theme="1"/>
        <rFont val="Aptos Narrow"/>
        <family val="2"/>
        <scheme val="minor"/>
      </rPr>
      <t xml:space="preserve">cannot have earlier timeline if not consulting CEB -- would not work
</t>
    </r>
    <r>
      <rPr>
        <b/>
        <sz val="11"/>
        <color theme="1"/>
        <rFont val="Aptos Narrow"/>
        <family val="2"/>
        <scheme val="minor"/>
      </rPr>
      <t xml:space="preserve">- Remo: </t>
    </r>
    <r>
      <rPr>
        <sz val="11"/>
        <color theme="1"/>
        <rFont val="Aptos Narrow"/>
        <family val="2"/>
        <scheme val="minor"/>
      </rPr>
      <t>didn't get info from SC; wanted to be included in SC to know decisions</t>
    </r>
  </si>
  <si>
    <t xml:space="preserve"> - Outcome findings consolidated?
- Progress and results analyzed?
- Suggested next steps drafted?
- Report cleared with key leads?
- Final outcome report released?</t>
  </si>
  <si>
    <t xml:space="preserve">Integrate supply chains, taking the New Humanitarian Compact as the concrete starting point.
</t>
  </si>
  <si>
    <t>Harmonized in-country logistics</t>
  </si>
  <si>
    <t>Atul Khare, USG DOS, khare@un.org; Cindy McCain, ED WFP (represented by Carl Skau), cindy.mccain@wfp.org; Catherine Russell, ED UNICEF, crussell@unicef.org</t>
  </si>
  <si>
    <t xml:space="preserve">AnneMarie Van Den Berg vandenberga@un.org
Neris Baez; neris.baezgarciademazzora@un.org
Maurizia Calo calom@un.org 
Giovanna Ceglie; giovanna.ceglie@un.org
Sara Adam sara.adam@wfp.org
Corinne Fleischer corinne.fleischer@wfp.org
Leila Pakkala lpakkala@unicef.org 
Regine Weber reweber@unicef.org
Katinka Rosenbom krosenbom@unicef.org </t>
  </si>
  <si>
    <t>DOS; WFP; UNICEF</t>
  </si>
  <si>
    <t>Proposal for harmonized in-country logistics, with initial application in Afghanistan, Haiti, Gaza (OPT), Somalia and Sudan finalized.</t>
  </si>
  <si>
    <t>Coordinated procurement of identified key items, pooled global logistics, and shared in-country logistics services are operational across the UN system, enabled by a coordination mechanism and guided by clear standard operating procedures and frameworks support the delivery of faster, more cost-effective, and more reliable assistance to people in need.</t>
  </si>
  <si>
    <t>Review final deadline to ensure checkpoint on impact of action before end of December 2026.</t>
  </si>
  <si>
    <t>Proposal for integrated supply chain in starter countries submitted for Secretary-General's consideration</t>
  </si>
  <si>
    <t xml:space="preserve"> - Final assessment findings consolidated?
- Cost, risk, and complexity analysis validated?
- Stakeholder feedback incorporated?
- Outcome package cleared for release?
- Final assessment publicly issued?</t>
  </si>
  <si>
    <t>HLCM Chair/BIG Co-Chairs</t>
  </si>
  <si>
    <t>Remo Lalli, Secretary of the High-level Committee on Management (HLCM), Director of the the Geneva Office of the CEB Secretariat, remo.lalli@un.org;
Silvan Scheiwiller, Coordination Officer, CEB, scheiwiller@un.org;
Federico Calciolari, Associate Expert in Interagency Coordination, CEB, federico.calciolari@un.org;
Larai Musa, Chief, Business Management Branch, DCO, larai.musa@un.org;
Peride Blind, [xxx], [xxx], blind@un.org;
Sara Adam, Director, Management Services Division, WFP, sara.adam@wfp.org</t>
  </si>
  <si>
    <t xml:space="preserve">Release of the assessment framework that will be used to guide decision making on items outlined in Action 63
</t>
  </si>
  <si>
    <t>Assessment framework for unified services finalized for Secretary-General's consideration</t>
  </si>
  <si>
    <t xml:space="preserve"> - Integrated suite of common back-office services finalized?
- Knowledge products and comparative reporting tools released?
- BIG service offerings expanded to all country offices?
- Uptake and functionality across countries verified?
- Next steps for full backbone consolidation agreed?</t>
  </si>
  <si>
    <t>BIG Co-Chairs</t>
  </si>
  <si>
    <t>Larai Musa, Chief, Business Management Branch, DCO,  larai.musa@un.org;
Peride Blind, Chief Country Business Strategies Section, DCO, 
blind@un.org</t>
  </si>
  <si>
    <t>BIG; DCO</t>
  </si>
  <si>
    <t xml:space="preserve">Commence the Self Starter Common Back Office/ locally shared service trainings towards accelerated unified common service backbone in countries;;
Launch survey to identify high impact target countries for supported roll out;
Launch an Interagency task force on operationalizing Mutual Recognition to accelerate take up of this foundational enabler  </t>
  </si>
  <si>
    <t>Release integrated suite of services for common back office, which include knowledge management products and work towards achieving consistent comparative result reporting; 
Expand the reach of service offerings from BIG to the whole network at country level; 
Release the report of lessons learned on new Self-starter Common back office launches and the report of post-launching common shared service structure governance; 
Four new CBO's (minimum) to be launched in 2026</t>
  </si>
  <si>
    <t>High-impact contexts for next phase of common country back offices identified for Secretary-General's consideration</t>
  </si>
  <si>
    <t xml:space="preserve"> - Potential service offerings mapped and reviewed?
- Links to existing efficiency measures identified?
- Preliminary efficiency gains collected from CBOs?
- Findings consolidated for systemwide use?
- Next steps for scaling efficiencies outlined?</t>
  </si>
  <si>
    <t>Release of the CBO Tracking Tool and CBO Self Starter Reporting methodology for new CBOs;  
Begin work on improving transparency in expenditure and support cost across all funding streams at country level by expanding the CBO framework to introduce reporting requirements on support costs and programme expense</t>
  </si>
  <si>
    <t>1. Identify potential service offerings funded by programme budget that can utilize and build on efficiency measures developed for administrative expenditure; 2. Four launched CBOs, release the preliminary efficiency gains per scaled common services in new CBO, including common ERPs, common payroll, with UNSDCF-SDG linkages where relevant. The gain calculation to be consistent with the accepted HLCM/ FBN definition of efficiency</t>
  </si>
  <si>
    <t>Forthcoming</t>
  </si>
  <si>
    <t>SG ITU; USG Policy; Co-Chairs DTN</t>
  </si>
  <si>
    <t>Kelly Clements, DHC UNHCR, clements@unhcr.org; 
Alexander De Croo, Administrator UNDP, alexander.de.croo@undp.org;
Daren Tang, DG WIPO, daren.tang@wipo.int;
Jens Wandel, SA Reform, jens.wandel@un.org;
Tedros Ghebreyesus, DG WHO, drtedros@who.int;
Sungah Lee, DDG M&amp;R IOM, sungahlee@iom.int</t>
  </si>
  <si>
    <t>Robert Opp, Chief Digital Officer, UNDP, robert.opp@undp.org; Khuloud Odeh, Chief Information Officer, ITU, khuloud.odeh@itu.int;
Sylvain St-Pierre, Chief Information Officer, UNHCR, st-pierre@unhcr.org; Volker Schimmel, Head of Service, UNHCR, schimmel@unhcr.org; 
Karl Kalejs, Chief Information Officer, WIPO, karl.kalejs@wipo.int;
Alexandru Zegrea, Counsellor to the Assistant Director General for Administration, Finance and Management, WIPO, alex.zegrea@wipo.int; 
Biswamber GURUBACHARYA, [xxx], WHO, gurubacharyab@who.int; Marietta MUWANGA-SSEVUME, Director ICT, IOM, muwanga@iom.int; 
Richard Maciver, Coordinator Digital and Technology Network, CEB, richard.maciver@un.org; Kersten Jauer, Deputy Director, Strategic Planning Unit, EOSG, jauer@un.org; Talea Von Lupin, Portfolio Manager, EOSG, talea.vonlupin@un.org</t>
  </si>
  <si>
    <t>EOSG (USG Policy); ITU; HLCM; UNHCR; UNDP; WIPO; EOSG (SA); WHO; IOM</t>
  </si>
  <si>
    <t>Systemwide ICT baseline info completed: comprehensive mapping of existing ICT capacities, including contracts (spending, suppliers), people/capacities (staffing, shared-service providers), and ongoing consolidation initiatives in HLCM, BIG, IASC, etc.</t>
  </si>
  <si>
    <t>ICT consolidation proposal endorsed by CEB: actions for unified ICT capacities as part of Unified Services Roadmap, including operational shared service delivery leveraging on ICC realignment/reform and other existing ICT shared services model such as UNDP/UN Secretariat ERP as a service, indicating estimated required investments and expected efficiency gains</t>
  </si>
  <si>
    <t>Proposal for ICT consolidation options presented to UN System Chief Executives Board for Coordination</t>
  </si>
  <si>
    <t xml:space="preserve"> - Final consolidation framework reviewed and cleared?
- Unified vendor agreements confirmed?
- Harmonized core ICT capacities agreed?
- Shared-service delivery model validated?
- CEB endorsement formally recorded?</t>
  </si>
  <si>
    <t xml:space="preserve">Develop a proposal for a Technology Accelerator Platform (TAP) for the Chief Executives Board for a lean joint programme accountable to the SG, led by group of entities with advanced capabilities, to help modernize business practices, scale up expertise, offer surge capacity and jointly build systemically important technology solutions, with a parallel kick-off of at least six joint use cases showcasing demonstratable impact in 2026. </t>
  </si>
  <si>
    <t>Portfolio of 3 high-impact technology acceleration use cases proposed to the UN80 Steering Committee, drawn from UN 2.0 and UN80 reports (e.g. mandate registry / tools, beneficiary ID (Quint), data commons site 1.0), plus a short survey to capture demand signals and early contributors for at least 3 additional use cases for Steering Committee endorsement by mid-2026</t>
  </si>
  <si>
    <t>Intermediate milestones available</t>
  </si>
  <si>
    <t>Portfolio of at least 3 high-impact use cases presented to UN80 Steering Committee</t>
  </si>
  <si>
    <t>Portfolio of 3 high-impact technology acceleration use cases presented to UN80 Steering Committee</t>
  </si>
  <si>
    <r>
      <rPr>
        <b/>
        <sz val="11"/>
        <color theme="1"/>
        <rFont val="Aptos Narrow"/>
        <family val="2"/>
        <scheme val="minor"/>
      </rPr>
      <t>7 Jan:</t>
    </r>
    <r>
      <rPr>
        <sz val="11"/>
        <color theme="1"/>
        <rFont val="Aptos Narrow"/>
        <family val="2"/>
        <scheme val="minor"/>
      </rPr>
      <t xml:space="preserve">
</t>
    </r>
    <r>
      <rPr>
        <b/>
        <sz val="11"/>
        <color theme="1"/>
        <rFont val="Aptos Narrow"/>
        <family val="2"/>
        <scheme val="minor"/>
      </rPr>
      <t>- Doreen:</t>
    </r>
    <r>
      <rPr>
        <sz val="11"/>
        <color theme="1"/>
        <rFont val="Aptos Narrow"/>
        <family val="2"/>
        <scheme val="minor"/>
      </rPr>
      <t xml:space="preserve">
-- MS very curious
-- Build search capacity, systematic implementable tech solutions
-- Demonstrable impact: Feb high-impact use cases (first three) -- so ready for deployment by Sep
-- Digital ID, Data Commons -- launching survey to identify 3 additional
-- Proposal ready by CEB, governance, way to scale up -- resource mobilization linked to TAP (MS interested to finance this)
</t>
    </r>
    <r>
      <rPr>
        <b/>
        <sz val="11"/>
        <color theme="1"/>
        <rFont val="Aptos Narrow"/>
        <family val="2"/>
        <scheme val="minor"/>
      </rPr>
      <t>- Guy:</t>
    </r>
    <r>
      <rPr>
        <sz val="11"/>
        <color theme="1"/>
        <rFont val="Aptos Narrow"/>
        <family val="2"/>
        <scheme val="minor"/>
      </rPr>
      <t xml:space="preserve"> use cases in CEB, what's the subject for that?
</t>
    </r>
    <r>
      <rPr>
        <b/>
        <sz val="11"/>
        <color theme="1"/>
        <rFont val="Aptos Narrow"/>
        <family val="2"/>
        <scheme val="minor"/>
      </rPr>
      <t>- Doreen:</t>
    </r>
    <r>
      <rPr>
        <sz val="11"/>
        <color theme="1"/>
        <rFont val="Aptos Narrow"/>
        <family val="2"/>
        <scheme val="minor"/>
      </rPr>
      <t xml:space="preserve">
-- Use cases: digital ID, data commons, AI uses
-- Will get 3 more before September
</t>
    </r>
    <r>
      <rPr>
        <b/>
        <sz val="11"/>
        <color theme="1"/>
        <rFont val="Aptos Narrow"/>
        <family val="2"/>
        <scheme val="minor"/>
      </rPr>
      <t>- Catherine:</t>
    </r>
    <r>
      <rPr>
        <sz val="11"/>
        <color theme="1"/>
        <rFont val="Aptos Narrow"/>
        <family val="2"/>
        <scheme val="minor"/>
      </rPr>
      <t xml:space="preserve">
-- On digitalID let's join up with HLCM
-- Need agencies to join -- let's coordinate our effort
-- Our goal: endorsement on highest level
</t>
    </r>
    <r>
      <rPr>
        <b/>
        <sz val="11"/>
        <color theme="1"/>
        <rFont val="Aptos Narrow"/>
        <family val="2"/>
        <scheme val="minor"/>
      </rPr>
      <t>- Guy:</t>
    </r>
    <r>
      <rPr>
        <sz val="11"/>
        <color theme="1"/>
        <rFont val="Aptos Narrow"/>
        <family val="2"/>
        <scheme val="minor"/>
      </rPr>
      <t xml:space="preserve"> SteerCo in Jan need to have SG
</t>
    </r>
    <r>
      <rPr>
        <b/>
        <sz val="11"/>
        <color theme="1"/>
        <rFont val="Aptos Narrow"/>
        <family val="2"/>
        <scheme val="minor"/>
      </rPr>
      <t>- Kersten:</t>
    </r>
    <r>
      <rPr>
        <sz val="11"/>
        <color theme="1"/>
        <rFont val="Aptos Narrow"/>
        <family val="2"/>
        <scheme val="minor"/>
      </rPr>
      <t xml:space="preserve"> another area for digitalID is for beneficiaryID -- with UNHCR, IOM trying to share across system -- need SG and SteerCo push</t>
    </r>
  </si>
  <si>
    <t xml:space="preserve"> - Priority use cases selected and deployed systemwide?
- KPI baselines and targets confirmed?
- Efficiency gains and user satisfaction data collected?
- Performance improvements validated with leads?
- Lessons captured to inform TAP scaling?</t>
  </si>
  <si>
    <t>Unify public UN system statistics in a single, high performing platform with interoperable datasets, modern discovery and reuse, APIs and structured access, AI ready architecture, and a scalable analytics backbone.</t>
  </si>
  <si>
    <t>USG Policy; USG DESA; ED UNICEF</t>
  </si>
  <si>
    <t>Guy Ryder, USG Policy, guy.ryder@un.org; 
LI Junhua, USG DESA, junhua.li@un.org; 
Catherine Russell, ED UNICEF, crussell@unicef.org</t>
  </si>
  <si>
    <t>Joao Pedro Azevedo, 
Chief Statistician and Deputy-Director heading the Data-Analytics Section, UNICEF, jpazevedo@unicef.org; 
Shantanu Mukherjee, Director, Economic Analysis and Policy Division, DESA, mukherjee1@un.org; Kersten Jauer, Deputy Director, Strategic Planning Unit, EOSG, jauer@un.org; Wai Min Kwok, Chief of Staff, DESA, kwok@un.org; Talea Von Lupin, Portfolio Manager, EOSG, talea.vonlupin@un.org</t>
  </si>
  <si>
    <t>EOSG (USG Policy); DESA; UNICEF; ILO; ECLAC; ECA; UNIDO</t>
  </si>
  <si>
    <t>Ambition and delivery setup agreed, incl. technological platform recommendation, system-wide leadership commitment for ingestion of existing public UN system data and statistics</t>
  </si>
  <si>
    <t>Refined platform live, providing a single public UN System Data Commons website for data and statistics ingested from 20+ UN system entities (10+ by end of July, another 10+ by mid-September), including recommendations for further scaling</t>
  </si>
  <si>
    <t>UN System Data Commons site live with public data and statistics from at least 20+ entities</t>
  </si>
  <si>
    <r>
      <rPr>
        <b/>
        <sz val="11"/>
        <color theme="1"/>
        <rFont val="Aptos Narrow"/>
        <family val="2"/>
        <scheme val="minor"/>
      </rPr>
      <t xml:space="preserve">14 Jan:
Li: 
</t>
    </r>
    <r>
      <rPr>
        <sz val="11"/>
        <color theme="1"/>
        <rFont val="Aptos Narrow"/>
        <family val="2"/>
        <scheme val="minor"/>
      </rPr>
      <t xml:space="preserve">- Pool existing data together -- no need to create new platform
- How they can share their data -- need political commitment from Principals
- 20 entities to join Data Commons
- Resource challenges
</t>
    </r>
    <r>
      <rPr>
        <b/>
        <sz val="11"/>
        <color theme="1"/>
        <rFont val="Aptos Narrow"/>
        <family val="2"/>
        <scheme val="minor"/>
      </rPr>
      <t xml:space="preserve">Omar:
</t>
    </r>
    <r>
      <rPr>
        <sz val="11"/>
        <color theme="1"/>
        <rFont val="Aptos Narrow"/>
        <family val="2"/>
        <scheme val="minor"/>
      </rPr>
      <t xml:space="preserve">- No red flag, risk yet
</t>
    </r>
    <r>
      <rPr>
        <b/>
        <sz val="11"/>
        <color theme="1"/>
        <rFont val="Aptos Narrow"/>
        <family val="2"/>
        <scheme val="minor"/>
      </rPr>
      <t xml:space="preserve">KJ: 
- </t>
    </r>
    <r>
      <rPr>
        <sz val="11"/>
        <color theme="1"/>
        <rFont val="Aptos Narrow"/>
        <family val="2"/>
        <scheme val="minor"/>
      </rPr>
      <t xml:space="preserve">DESA will build a site with system-wide asset, want to collect leadership committment (for sure in CEB)
- Longer-term goals: joint approach -- UNICEF joint programme/approach, pool resources
</t>
    </r>
    <r>
      <rPr>
        <b/>
        <sz val="11"/>
        <color theme="1"/>
        <rFont val="Aptos Narrow"/>
        <family val="2"/>
        <scheme val="minor"/>
      </rPr>
      <t xml:space="preserve">
12 Jan - UNSDG Regional Reset:
Guy:
</t>
    </r>
    <r>
      <rPr>
        <sz val="11"/>
        <color theme="1"/>
        <rFont val="Aptos Narrow"/>
        <family val="2"/>
        <scheme val="minor"/>
      </rPr>
      <t>- By HLW, single high-performance data commons, joint team, 1 interoperable public data
- Need leadership commitment for joint data
- Update milestones
- Needs: political commitment (on statistical data), modest joint programme approach (cost est. $2M annually), engagement (focal points needed)</t>
    </r>
  </si>
  <si>
    <r>
      <rPr>
        <b/>
        <sz val="11"/>
        <color theme="1"/>
        <rFont val="Aptos Narrow"/>
        <family val="2"/>
        <scheme val="minor"/>
      </rPr>
      <t>9 Jan:</t>
    </r>
    <r>
      <rPr>
        <sz val="11"/>
        <color theme="1"/>
        <rFont val="Aptos Narrow"/>
        <family val="2"/>
        <scheme val="minor"/>
      </rPr>
      <t xml:space="preserve">
- Website to be done by DESA by UNGA
- DESA will reposition the branding to be system-wide asset</t>
    </r>
  </si>
  <si>
    <t>Establish a jointly financed, jointly governed programme and core team to run the Commons, secure system wide leadership commitments, and set a sustainable, pooled funding model with clear governance and capacity to deliver at pace and quality.</t>
  </si>
  <si>
    <t>As part of ambition and delivery setup, system-wide leadership commitment secured for a joint programme in support of the UN System Data Commons, incl. potential resource contributions</t>
  </si>
  <si>
    <t>Joint programme for UN System Data Commons fully set up, incl. initial resource contributions, and recommendations drafted for 2027 scaling</t>
  </si>
  <si>
    <t>Commitments made by system-wide leadership for a sustainable joint approach supporting the UN System Data Commons</t>
  </si>
  <si>
    <r>
      <rPr>
        <b/>
        <sz val="11"/>
        <color theme="1"/>
        <rFont val="Aptos Narrow"/>
        <family val="2"/>
        <scheme val="minor"/>
      </rPr>
      <t>9 Jan:</t>
    </r>
    <r>
      <rPr>
        <sz val="11"/>
        <color theme="1"/>
        <rFont val="Aptos Narrow"/>
        <family val="2"/>
        <scheme val="minor"/>
      </rPr>
      <t xml:space="preserve">
- UNICEF will draft concept note so joint institutional approach can be system-wide
- There's commitment on data harmonization
- Need SteerCo push to get system-wide commitment in Feb or Mar</t>
    </r>
  </si>
  <si>
    <t>As part of ambition and delivery setup, initial resource and personnel contributions from UN system entities secured</t>
  </si>
  <si>
    <t>Long-term team in support of UN System Data Commons assembled, and recommendations for 2027 scaling available</t>
  </si>
  <si>
    <t>Initial data and statistics capacity contributions identified</t>
  </si>
  <si>
    <t>Merge UN System Staff College (UNSSC) into the UN Institute for Training and Research (UNITAR)</t>
  </si>
  <si>
    <t>ED UNITAR; Rector UNU</t>
  </si>
  <si>
    <t>Michelle Gyles-McDonnough, ED UNITAR, GYLES-MCDONNOUGH@unitar.org;
Tshilidzi Marwala, Rector UNU (USG), rector@unu.edu</t>
  </si>
  <si>
    <t>Miguel Panadero, Acting Director, UNSSC, m.panadero@unssc.org;
Silke Weinlich, Deputy Director, UNSSC, s.weinlich@unssc.org;
Marina Dinca Vasilescu, Director, Operations, UNITAR, Marina.VASILESCU@unitar.org;
Evariste Karambizi, Director, Division for Peace UNITAR, Evariste.KARAMBIZI@unitar.org; 
Nyaradzayi Gumbonzvanda, Deputy Executive Director, UN WOMEN, n.gumbonzvanda@unwomen.org;
Papa Seck, Chief Research and Data, UN WOMEN, papa.seck@unwomen.org;
ITU
Doreen Bogdan-Martin, Secretary-General, ITU, doreen.bogdan@itu.int;
Regina Valiullina, Senior Partnership and academia engagement officer, Regina.Valiullina@itu.int; 
ITC ILO
Andreas Klemmer, Director of Training, ITC ILO, A.Klemmer@itcilo.org; 
DCO
Oscar Fernández-Taranco, Assistant Secretary-General for Development Coordination, DCO, fernandez-taranco@un.org; 
Helena Fraser, Director, Policy and Programming Branch, DCO, fraser@un.org; 
DOS
Adrian Hills, Chief, Capacity Development and Operational Training Service, DOS, hillsa@un.org;
Mohammad Jeram, Chief of Operational Training Section, CDOTS, jeram@un.org;
Paola Matarazzo, Chief, Business Process &amp; Systems Support Section, CDOTS, matarazzo@un.org</t>
  </si>
  <si>
    <t>UNITAR; UNU; UNSSC; UN Women; ITU; ILO; DCO; DOS</t>
  </si>
  <si>
    <t>Merger roadmap agreed by UNITAR and UNSSC, incl.  needs assessment, scope, methodology, and joint plan for functional/financial mapping; consultations launched</t>
  </si>
  <si>
    <t>UNITAR and UNSSC Boards  endorse merger proposal for submission via SG to the GA</t>
  </si>
  <si>
    <t>Intermediate milestones available via attachment</t>
  </si>
  <si>
    <t>Executive heads of UNITAR and UNSSC, together with Action 68 Team agree overall roadmap, detailed workplan, stakeholder engagement and key milestones.</t>
  </si>
  <si>
    <t>Executive heads of UNITAR and UNSSC, together with Action 68 Team agree overall roadmap, stakeholder engagement strategy and key milestones. UNITAR and UNSSC agree detailed workplan for merger of the two institutions incl. needs assessment, scope, methodology and analytical questions</t>
  </si>
  <si>
    <r>
      <rPr>
        <b/>
        <sz val="11"/>
        <color theme="1"/>
        <rFont val="Aptos Narrow"/>
        <family val="2"/>
        <scheme val="minor"/>
      </rPr>
      <t xml:space="preserve">14 Jan:
Michelle: </t>
    </r>
    <r>
      <rPr>
        <sz val="11"/>
        <color theme="1"/>
        <rFont val="Aptos Narrow"/>
        <family val="2"/>
        <scheme val="minor"/>
      </rPr>
      <t xml:space="preserve">
- Key milestones set out -- merger plan in place by end of Jan (set out TOR)
- Team will meet 15 Jan
- Requiring external analytical support -- trying to get this in place (financial, HR, digital, orgs)
- In touch with DGACM for final submission
- Target: final proposal end of June, draft end of April
</t>
    </r>
    <r>
      <rPr>
        <b/>
        <sz val="11"/>
        <color theme="1"/>
        <rFont val="Aptos Narrow"/>
        <family val="2"/>
        <scheme val="minor"/>
      </rPr>
      <t xml:space="preserve">Guy: </t>
    </r>
    <r>
      <rPr>
        <sz val="11"/>
        <color theme="1"/>
        <rFont val="Aptos Narrow"/>
        <family val="2"/>
        <scheme val="minor"/>
      </rPr>
      <t xml:space="preserve">Legal and procedural pathway needed?
</t>
    </r>
    <r>
      <rPr>
        <b/>
        <sz val="11"/>
        <color theme="1"/>
        <rFont val="Aptos Narrow"/>
        <family val="2"/>
        <scheme val="minor"/>
      </rPr>
      <t xml:space="preserve">Michelle:
</t>
    </r>
    <r>
      <rPr>
        <sz val="11"/>
        <color theme="1"/>
        <rFont val="Aptos Narrow"/>
        <family val="2"/>
        <scheme val="minor"/>
      </rPr>
      <t xml:space="preserve">- Discussions with OLA and DGACM
- Relationship with GA and ECOSOC -- both entities report through ECOSOC
</t>
    </r>
  </si>
  <si>
    <t xml:space="preserve"> - Final transition plan submitted to Member States?
- Questions or comments from Member States addressed?
- Decision or guidance formally recorded?
- Implications for structures and staffing clarified?
- Next steps for merger implementation outlined?</t>
  </si>
  <si>
    <t>Xiaomeng Shen, Vice Rector Europe, UNU, shen@ehs.unu.edu;
Sabine Becker-Thierry, Director, UNU, sabine.becker@unu.edu</t>
  </si>
  <si>
    <t>UNU; UNITAR</t>
  </si>
  <si>
    <t>UNU Council would have reviewed and endorsed the UN80 report’s recommendations to integrate UNRISD into UNU</t>
  </si>
  <si>
    <t>UNU Council endorsed implementation plan and agreed to submit it to the Secretary-General in August 2026</t>
  </si>
  <si>
    <t>UNU and UNRISD leadership review administrative framework to gather information regarding integration</t>
  </si>
  <si>
    <t>UNU reviews UNRISD's administrative framework (financial, communications, HR, legal), to gather information regarding integration</t>
  </si>
  <si>
    <r>
      <rPr>
        <b/>
        <sz val="11"/>
        <color theme="1"/>
        <rFont val="Aptos Narrow"/>
        <family val="2"/>
        <scheme val="minor"/>
      </rPr>
      <t xml:space="preserve">14 Jan:
Xiaomeng:
</t>
    </r>
    <r>
      <rPr>
        <sz val="11"/>
        <color theme="1"/>
        <rFont val="Aptos Narrow"/>
        <family val="2"/>
        <scheme val="minor"/>
      </rPr>
      <t xml:space="preserve">- 5 Dec: UNU Council reviewed and endorsed UN80 reports, endorsed recommendation to integrate UNRISD to UNU, Council agree and support changing structure, establishment coord mechanism, request to review UNU financial and admin condition for incorp of UNRISD
- Rector to provide regular updates to Council, comp report submitted for discussion and recs
- Council will authorize integ in regular meetings May Jun, or adhoc session
- Dir of UNRISD invited, confirm support integration
- Dir of UNRISD and UNU officials will do mapping of financial, legal requirements
</t>
    </r>
    <r>
      <rPr>
        <b/>
        <sz val="11"/>
        <color theme="1"/>
        <rFont val="Aptos Narrow"/>
        <family val="2"/>
        <scheme val="minor"/>
      </rPr>
      <t xml:space="preserve">Elinor:
</t>
    </r>
    <r>
      <rPr>
        <sz val="11"/>
        <color theme="1"/>
        <rFont val="Aptos Narrow"/>
        <family val="2"/>
        <scheme val="minor"/>
      </rPr>
      <t>- SG decision UNRISD half -- given history of engagement of CSD and ECOSOC so should consider how to consult them</t>
    </r>
  </si>
  <si>
    <t xml:space="preserve"> - Final integration decision confirmed?
- Transition timeline agreed?
- Public announcement issued?
- Roles and future arrangements clarified?
- Next implementation steps communicated?</t>
  </si>
  <si>
    <t>Jonas Haertle, Chief Office of the Executive Director, UNITAR, jonas.haertle@unitar.org; 
Mihoko Kumamoto, Director Division for Prosperity, UNITAR, mihoko.kumamoto@unitar.org;
Sabine Becker-Thierry, Director, UNU, sabine.becker@unu.edu; 
Francesco Foghetti, Senior Legal Officer, UNU, foghetti@unu.edu</t>
  </si>
  <si>
    <t>Blueprint for Joint UN Coordination Mechanism at CEB in May 2026</t>
  </si>
  <si>
    <t>Plan in place on scope and key considerations of the system-wide mapping exercise</t>
  </si>
  <si>
    <t>Plan in place setting out the scope and key considerations of the system-wide knowledge mapping exercise, including entities to be engaged</t>
  </si>
  <si>
    <r>
      <rPr>
        <b/>
        <sz val="11"/>
        <color theme="1"/>
        <rFont val="Aptos Narrow"/>
        <family val="2"/>
        <scheme val="minor"/>
      </rPr>
      <t xml:space="preserve">14 Jan:
Michelle:
</t>
    </r>
    <r>
      <rPr>
        <sz val="11"/>
        <color theme="1"/>
        <rFont val="Aptos Narrow"/>
        <family val="2"/>
        <scheme val="minor"/>
      </rPr>
      <t xml:space="preserve">- Plan in place by 31 Jan -- will have milestones
- Mech not adding resources, pragmatic
</t>
    </r>
    <r>
      <rPr>
        <b/>
        <sz val="11"/>
        <color theme="1"/>
        <rFont val="Aptos Narrow"/>
        <family val="2"/>
        <scheme val="minor"/>
      </rPr>
      <t xml:space="preserve">Guy: </t>
    </r>
    <r>
      <rPr>
        <sz val="11"/>
        <color theme="1"/>
        <rFont val="Aptos Narrow"/>
        <family val="2"/>
        <scheme val="minor"/>
      </rPr>
      <t xml:space="preserve">scope of entities? Specialized entities with research outputs
</t>
    </r>
    <r>
      <rPr>
        <b/>
        <sz val="11"/>
        <color theme="1"/>
        <rFont val="Aptos Narrow"/>
        <family val="2"/>
        <scheme val="minor"/>
      </rPr>
      <t xml:space="preserve">Michelle:
</t>
    </r>
    <r>
      <rPr>
        <sz val="11"/>
        <color theme="1"/>
        <rFont val="Aptos Narrow"/>
        <family val="2"/>
        <scheme val="minor"/>
      </rPr>
      <t>- Further meetings are scheduled
- Will have milestones</t>
    </r>
  </si>
  <si>
    <t xml:space="preserve"> - Final blueprint reviewed and cleared?
- SG endorsement formally recorded?
- Roles, functions, and governance confirmed?
- Transition steps outlined?
- Preparations for operationalization initiated?</t>
  </si>
  <si>
    <t>SA Reform; ASG DCO</t>
  </si>
  <si>
    <t xml:space="preserve">Jens Wandel, USG EOSG, jens.wandel@un.org;
Oscar Fernandez-Taranco, ASG DCO, fernandez-taranco@un.org;
Elizabeth Spehar, ASG PBSO, spehare@un.org;
Alain Noudehou, Director MPTFO UNDP, noudehou@un.org;
Susan Brown, ASG Director of the Bureau for External Relations and Advocacy UNDP, susan.brown@undp.org;
Rania Dagash, ASG and AED for Partnerships and Resource Mobilization, WFP, rania.dagash@wfp.org;
Kitty van der Heijden, ASG and DED for Partnerships, UNICEF, kvdheijden@unicef.org
Lisa Doughten, Director Humanitarian Financing and Resource Mobilization OCHA, doughten@un.org 
</t>
  </si>
  <si>
    <t>Chris Stokes, Senior Advisor, DCO, cstokes@un.org;
Fiona Bayat-Renoux, Deputy Chief of Staff, UNDP, fiona.bayat-renoux@uncdf.org;
Klaus Simioni Pederson, Chief, Resource Mobilization Branch, UNFPA, simonipedersen@unfpa.org;
Alice Sequi, Chief, Pooled Fund Branch, OCHA, sequi@un.org;
Lisa Kurbiel, Chief, Joint SDG Fund Secretariat, DCO, lisa.kurbiel@un.org
Sikander Thapa, Management Advisor, MPTFO, sikander.thapa@undp.org
Andrew Reese, Senior Advisor, UN Partnerships, UNICEF, areese@unicef.org
Romina Woldemariam, Partnerships Specialist, WFP, romina.woldemariam@wfp.org
Brian Williams, Chief, Financing for Peacebuilding Branch, PBSO, williamsbj@un.org</t>
  </si>
  <si>
    <t>DCO; UNDP; OCHA; EOSG (SA); DPPA</t>
  </si>
  <si>
    <t>Present review report with recommendations for improving pooled fund arrangements with a view to strengthening incentives for pooled funding across all pillars.</t>
  </si>
  <si>
    <t>Review report with recommendations for how to strengthen incentives for pooled funding finalized for the Secretary-General's consideration</t>
  </si>
  <si>
    <t xml:space="preserve"> - Recommendations consolidated and prioritized?
- Required actions implemented across entities?
- Progress and results documented?
- Update package finalized for publication?
- Systemwide dissemination completed?</t>
  </si>
  <si>
    <t>Present a portfolio view of pooled funding, with proposals and concrete steps for rationalizing the portfolio as necessary and building complementarities and synergies among pooled funds and across the UN pillars.</t>
  </si>
  <si>
    <t>Analysis, mapping and categorization of all relevant data finalized for the Secretary-General's consideration</t>
  </si>
  <si>
    <t xml:space="preserve"> - Final proposals consolidated and agreed?
- Required actions implemented across funds?
- Governance-body decisions reflected?
- Portfolio adjustments confirmed?
- Next steps for sustained alignment outlined?</t>
  </si>
  <si>
    <t>Present proposal to incentivize voluntary core funding and increase visibility for core contributors and partners, as well as ensure core funding drives coherence, effectiveness and efficiency.</t>
  </si>
  <si>
    <t>Draft paper on strengthening the case for core funding finalized for discussion with UN80 Steering Committee</t>
  </si>
  <si>
    <t xml:space="preserve"> - Reporting guidance issued to entities?
- Entity-level actions to strengthen core funding identified?
- Steps taken documented and consolidated?
- Alignment with proposal verified?
- Systemwide summary prepared?</t>
  </si>
  <si>
    <t>Present final mapping of Funding Compact review mechanisms and recommendations for integrating discussions into a system-wide review mechanism.</t>
  </si>
  <si>
    <t>Mapping of review mechanisms and relevant recommendations finalized for the Secretary-General's consideration</t>
  </si>
  <si>
    <t xml:space="preserve"> - Final mapping validated?
- Gaps and overlaps identified?
- Integration options analyzed?
- Recommendations finalized?
- Package prepared for systemwide discussion?</t>
  </si>
  <si>
    <t>USG Policy; USG DGACM</t>
  </si>
  <si>
    <t>Guy Ryder, USG for Policy, guy.ryder@un.org;
Movses Abelian, USG DGACM, abelian@un.org</t>
  </si>
  <si>
    <t>Melanie Ramjoue, Senior Programme Officer, EOSG, ramjoue@un.org;
Wannes Lint, Intergovernmental Affairs Officer, DGACM, lint@un.org</t>
  </si>
  <si>
    <t>EOSG (USG Policy); DGACM; DMSPC; DGC</t>
  </si>
  <si>
    <t>Draft of member state survey on mandate creation support finalized for Co-Chairs' of IAHWG on Mandate Implementation Review consideration</t>
  </si>
  <si>
    <t>Proposals for enhanced mandate creation support submitted to MS for decision</t>
  </si>
  <si>
    <t>Invitation to participate in survey shared with Member State delegates</t>
  </si>
  <si>
    <t xml:space="preserve"> - Final proposals consolidated for MS review?
- Comments from MS addressed?
- Submission prepared for decision processes?
- Implications for support arrangements clarified?
- Next implementation steps outlined?</t>
  </si>
  <si>
    <t>EOSG (USG Policy); DGACM</t>
  </si>
  <si>
    <t>Mapping of available support of mandate creation system-wide finalized</t>
  </si>
  <si>
    <t>A website to coordinate and promote greater visibility across mandating bodies launched</t>
  </si>
  <si>
    <t>Mapping of available system-wide support finalized for the Secretary-General's consideration</t>
  </si>
  <si>
    <t>Mapping of available support of mandate creation system-wide finalized for the Secretary-General's consideration</t>
  </si>
  <si>
    <t xml:space="preserve"> - Platform design and governance finalized?
- Participating entities confirmed?
- Operating protocols agreed?
- Initial workplan validated?
- Joint programme formally launched?</t>
  </si>
  <si>
    <t>Melanie Ramjoue, Senior Programme Officer, EOSG, ramjoue@un.org;
Wannes Lint, Intergovernmental Affairs Officer, DGACM, lint@un.org;
OPPFB - TBC</t>
  </si>
  <si>
    <t>EOSG (USG Policy); DGACM; DMSPC</t>
  </si>
  <si>
    <t>Initial concept note finalized for the Secretary-General's consideration</t>
  </si>
  <si>
    <t xml:space="preserve"> - Final proposals consolidated for MS review?
- Inputs from MS addressed?
- Submission package prepared?
- Implications for PBI process clarified?
- Next steps for implementation outlined?</t>
  </si>
  <si>
    <t>Catherine Pollard, USG DMSPC, pollardc@un.org;
Inger Andersen, ED UNEP, inger.andersen@un.org;
Catherine Russell, ED UNICEF, crussell@unicef.org</t>
  </si>
  <si>
    <t>Chandramouli Ramanathan, Assistant Secretary-General &amp; Controller, DMSPC, ramanathanc@un.org;
Ligia Noronha, ASG, UNEP, ligia.noronha@un.org;
Hannan Sulieman, Deputy Executive Director, UNICEF, hsulieman@unicef.org;
Arnab Roy, Director, EOSG, roya@un.org;
Christophe Monier, Director, DMSPC, monier@un.org;
Patrick Carey, Director, DOS, careyp@un.org;
Soomi Ro, Director, UNEP, ros@un.org;
Oumar Diallo, Special Assistant to the Chef de Cabinet, EOSG, dialloo@un.org;
Alessandro Susini, Executive Officer, EOSG, susini@un.org;
Kersten Jauer, Deputy Director Strategic Planning Unit, EOSG, jauer@un.org;
Qian Cheng, Finance and Budget Officer, EOSG, qian.cheng@un.org</t>
  </si>
  <si>
    <t>DMSPC; UNEP; UNICEF; EOSG (USG Policy); DOS</t>
  </si>
  <si>
    <t xml:space="preserve">Assessment lead confirmed and TOR developed </t>
  </si>
  <si>
    <t>Findings and Recommendation of the assessment presented to CEB and Member States</t>
  </si>
  <si>
    <t>Terms of reference developed and assessment lead proposed for the Secretary-General's consideration</t>
  </si>
  <si>
    <t>Terms of reference developed and assessment lead confirmed</t>
  </si>
  <si>
    <r>
      <rPr>
        <b/>
        <sz val="11"/>
        <color theme="1"/>
        <rFont val="Aptos Narrow"/>
        <family val="2"/>
        <scheme val="minor"/>
      </rPr>
      <t xml:space="preserve">14 Jan:
Oumar:
</t>
    </r>
    <r>
      <rPr>
        <sz val="11"/>
        <color theme="1"/>
        <rFont val="Aptos Narrow"/>
        <family val="2"/>
        <scheme val="minor"/>
      </rPr>
      <t>- Assessment will be done by external person -- considering David Passarelli (UNU Centre for Policy Research)
- Need help in creating TOR for this role</t>
    </r>
  </si>
  <si>
    <t>DMSPC; UNEP; UNICEF; DOS; EOSG (USG Policy)</t>
  </si>
  <si>
    <t>Revised budget instruction issued by PPBD accompanied by a political message from EOSG</t>
  </si>
  <si>
    <t xml:space="preserve">Budget instructions for the 2028 programme plan issued with fully developed guidance on defining comparative advantage, based on lessons learned from the 2027 process </t>
  </si>
  <si>
    <t>Additional review instructions shared with relevant UN entities</t>
  </si>
  <si>
    <r>
      <rPr>
        <b/>
        <sz val="11"/>
        <color theme="1"/>
        <rFont val="Aptos Narrow"/>
        <family val="2"/>
        <scheme val="minor"/>
      </rPr>
      <t xml:space="preserve">14 Jan:
Oumar:
</t>
    </r>
    <r>
      <rPr>
        <sz val="11"/>
        <color theme="1"/>
        <rFont val="Aptos Narrow"/>
        <family val="2"/>
        <scheme val="minor"/>
      </rPr>
      <t xml:space="preserve">- Let PPBD deadl with this like usual
- We can check their draft - to include output/deliverables language
</t>
    </r>
    <r>
      <rPr>
        <b/>
        <sz val="11"/>
        <color theme="1"/>
        <rFont val="Aptos Narrow"/>
        <family val="2"/>
        <scheme val="minor"/>
      </rPr>
      <t xml:space="preserve">KJ: </t>
    </r>
    <r>
      <rPr>
        <sz val="11"/>
        <color theme="1"/>
        <rFont val="Aptos Narrow"/>
        <family val="2"/>
        <scheme val="minor"/>
      </rPr>
      <t xml:space="preserve">They will have it this week
</t>
    </r>
    <r>
      <rPr>
        <b/>
        <sz val="11"/>
        <color theme="1"/>
        <rFont val="Aptos Narrow"/>
        <family val="2"/>
        <scheme val="minor"/>
      </rPr>
      <t xml:space="preserve">Oumar: </t>
    </r>
    <r>
      <rPr>
        <sz val="11"/>
        <color theme="1"/>
        <rFont val="Aptos Narrow"/>
        <family val="2"/>
        <scheme val="minor"/>
      </rPr>
      <t xml:space="preserve">What option do you have on the tool?
</t>
    </r>
    <r>
      <rPr>
        <b/>
        <sz val="11"/>
        <color theme="1"/>
        <rFont val="Aptos Narrow"/>
        <family val="2"/>
        <scheme val="minor"/>
      </rPr>
      <t xml:space="preserve">KJ: </t>
    </r>
    <r>
      <rPr>
        <sz val="11"/>
        <color theme="1"/>
        <rFont val="Aptos Narrow"/>
        <family val="2"/>
        <scheme val="minor"/>
      </rPr>
      <t xml:space="preserve">
- Team member stay for 2026 to prepare/maintain for 2028 process
- Have colleagues in touch with SAP/Umoja tools
- Digital team alrd build to include data pull from most recent Digital Library data
</t>
    </r>
    <r>
      <rPr>
        <b/>
        <sz val="11"/>
        <color theme="1"/>
        <rFont val="Aptos Narrow"/>
        <family val="2"/>
        <scheme val="minor"/>
      </rPr>
      <t xml:space="preserve">Qian:
</t>
    </r>
    <r>
      <rPr>
        <sz val="11"/>
        <color theme="1"/>
        <rFont val="Aptos Narrow"/>
        <family val="2"/>
        <scheme val="minor"/>
      </rPr>
      <t xml:space="preserve">- Need to be careful when there are tools -- push from Umoja
- And if it becomes Umoja, will take years to develop with financial implications
</t>
    </r>
    <r>
      <rPr>
        <b/>
        <sz val="11"/>
        <color theme="1"/>
        <rFont val="Aptos Narrow"/>
        <family val="2"/>
        <scheme val="minor"/>
      </rPr>
      <t xml:space="preserve">Oumar: </t>
    </r>
    <r>
      <rPr>
        <sz val="11"/>
        <color theme="1"/>
        <rFont val="Aptos Narrow"/>
        <family val="2"/>
        <scheme val="minor"/>
      </rPr>
      <t xml:space="preserve">Interoperability with Umoja or not
</t>
    </r>
    <r>
      <rPr>
        <b/>
        <sz val="11"/>
        <color theme="1"/>
        <rFont val="Aptos Narrow"/>
        <family val="2"/>
        <scheme val="minor"/>
      </rPr>
      <t xml:space="preserve">KJ: 
- </t>
    </r>
    <r>
      <rPr>
        <sz val="11"/>
        <color theme="1"/>
        <rFont val="Aptos Narrow"/>
        <family val="2"/>
        <scheme val="minor"/>
      </rPr>
      <t>Interoperable with Digital Library, ODS, output with PPBD text
- Does it have to be in Umoja? Or should explore sth chepaer?</t>
    </r>
  </si>
  <si>
    <t>Jens Wandel, SA Reform EOSG, jens.wandel@un.org;
Fatoumata Ndiay, USG OIOS, ndiaye@un.org;
Doreen Bogdan-Martin, USG ITU, bdtdirector@itu.int;
Francine Pickup, Deputy Director, BPPS francine.pickup@undp.org</t>
  </si>
  <si>
    <t>EOSG (SA); ITU; OIOS; UNDP</t>
  </si>
  <si>
    <t>Action plan finalized for the Secretary-General's consideration</t>
  </si>
  <si>
    <t>Action plan for a strengthened UN System-Wide Management for Results (MfR) Mechanism finalized for the Secretary-General's consideration</t>
  </si>
  <si>
    <r>
      <rPr>
        <b/>
        <sz val="11"/>
        <color theme="1"/>
        <rFont val="Aptos Narrow"/>
        <family val="2"/>
        <scheme val="minor"/>
      </rPr>
      <t xml:space="preserve">15 Jan:
Jens:
</t>
    </r>
    <r>
      <rPr>
        <sz val="11"/>
        <color theme="1"/>
        <rFont val="Aptos Narrow"/>
        <family val="2"/>
        <scheme val="minor"/>
      </rPr>
      <t>- First is concept note/paper; then build action plan around this; then stabilize action plan then present to SG
- Mechanism could be something like CEB
KJ:
- 3 opportunities: resolution by 31Mar; GA briefing in Mar; early config jointly financed programme eg. CEB
Jens:
- Send budget section that pertains to CEB Sec
PU: action plan without MS involvement? Concept paper by end of Jan? Inclusion of DMSPC?
Jens:
- Why May? At planning not sure, but will table in SC in April, maybe action plan cosultation/discussion in CEB, change in next SG TOR
- In contact with DMSPC - in Controller's office, the minute we get high-level sorted then we get downward
- Strategy is to involve DMSPC indirectly (at later stage)
- MS will not to approve this work package
Piyoo:
- There's some dashboard in PPBD - how to work on next PPB -- the mandate citation</t>
    </r>
  </si>
  <si>
    <r>
      <rPr>
        <b/>
        <sz val="11"/>
        <color theme="1"/>
        <rFont val="Aptos Narrow"/>
        <family val="2"/>
        <scheme val="minor"/>
      </rPr>
      <t xml:space="preserve">21 Jan:
</t>
    </r>
    <r>
      <rPr>
        <sz val="11"/>
        <color theme="1"/>
        <rFont val="Aptos Narrow"/>
        <family val="2"/>
        <scheme val="minor"/>
      </rPr>
      <t>- What is the plan on engaging entities system-wide to endorse this concept paper?</t>
    </r>
  </si>
  <si>
    <t xml:space="preserve"> - Final action plan consolidated and cleared?
- System-wide RBM standards agreed?
- Measurement and communication approach validated?
- Implementation pathway confirmed?
- Next steps communicated to entities?</t>
  </si>
  <si>
    <t>Rosemary Anne Di Carlo, USG DPPA, rosemary.dicarlo@un.org;
Jean-Pierre Lacroix, USG DPO, jean-pierre.lacroix@un.org</t>
  </si>
  <si>
    <t>Elizabeth Spehar, Assistant Secretary-General, DPPA-PBSO, spehare@un.org;
Awa Dabo, Director Political Affairs, DPPA-PBSO, awa.dabo@un.org; 
Markus Bouillon, Principal Political Affairs Officer, DPPA, bouillonm@un.org;
Marco Bianchini, Principal Political Affairs Officer, DPO, bianchinim@un.org;
OROLSI colleagues</t>
  </si>
  <si>
    <t>Decision taken, as per GA resolution 80/242</t>
  </si>
  <si>
    <t xml:space="preserve"> - Final proposal circulated and comments addressed?
- Submission prepared for GA review?
- GA endorsement recorded?
- Structural implications confirmed?
- Next steps for implementation communicated?</t>
  </si>
  <si>
    <t xml:space="preserve"> - Final PBPSO proposal reviewed and submitted?
- GA endorsement formally recorded?
- Structural and staffing implications confirmed?
- Transition arrangements defined?
- Next steps communicated?</t>
  </si>
  <si>
    <t>Rosemary Anne Di Carlo, USG DPPA, rosemary.dicarlo@un.org; 
Jean-Pierre Lacroix, USG DPO, jean-pierre.lacroix@un.org</t>
  </si>
  <si>
    <t xml:space="preserve">Asif Khan, Director, DPPA, khan34@un.org;
David Haeri, Director, DPO, haeri@un.org;
Markus Bouillon, Principal Political Affairs Officer, DPPA, bouillonm@un.org;
Marco Bianchini, Principal Political Affairs Officer, DPO, bianchinim@un.org
</t>
  </si>
  <si>
    <t xml:space="preserve"> - Final merger proposal reviewed and cleared?
- GA endorsement formally recorded?
- Roles, reporting lines, and structure confirmed?
- Transition arrangements finalized?
- Merged unit initiated its work?</t>
  </si>
  <si>
    <t xml:space="preserve">Asif Khan, Director, DPPA, khan34@un.org;
David Haeri, Director, DPO, haeri@un.org;
Markus Bouillon, Principal Political Affairs Officer, DPPA, bouillonm@un.org;
Marco Bianchini, Principal Political Affairs Officer, DPO, bianchinim@un.org
</t>
  </si>
  <si>
    <t>Proposal prepared for the Secretary-General's consideration</t>
  </si>
  <si>
    <t xml:space="preserve"> - Key stakeholders identified?
- Prep materials shared?
- Agenda or discussion note agreed?
- Meeting convened?
- Initial mechanisms and linkages documented?</t>
  </si>
  <si>
    <t xml:space="preserve"> - Division of labour finalized?
- Joint mechanisms defined and agreed?
- Roles and interfaces across functions clarified?
- Coordination workflows validated?
- Next steps for implementation confirmed?</t>
  </si>
  <si>
    <t>Markus Bouillon, Principal Political Affairs Officer, DPPA, bouillonm@un.org;
Marco Bianchini, Principal Political Affairs Officer, DPO, bianchinim@un.org;
Khaled Khiari, Assistant Secretary-General, DPPA-DPO, khaled.khiari@un.org</t>
  </si>
  <si>
    <t xml:space="preserve"> - Final consolidation proposal reviewed?
- GA endorsement formally recorded?
- Structural and staffing implications confirmed?
- Transition plan finalized?
- Next steps communicated?</t>
  </si>
  <si>
    <t>Martha Pobee, Assistant Secretary-General, DPPA-DPO, martha.pobee@un.org;
Markus Bouillon, Principal Political Affairs Officer, DPPA, bouillonm@un.org;
Marco Bianchini, Principal Political Affairs Officer, DPO, bianchinim@un.org;</t>
  </si>
  <si>
    <t xml:space="preserve"> - Final proposal reviewed and cleared?
- GA endorsement formally recorded?
- Structural implications agreed?
- Transition arrangements finalized?
- Next steps communicated?</t>
  </si>
  <si>
    <t>Rosemary Anne Di Carlo, USG DPPA, rosemary.dicarlo@un.org;
Khaled Khiari, ASG DPPA-DPO, khaled.khiari@un.org</t>
  </si>
  <si>
    <t>Markus Bouillon, Principal Political Affairs Officer, DPPA, bouillonm@un.org;
OASG MEAP</t>
  </si>
  <si>
    <t xml:space="preserve"> - Final integration proposal reviewed?
- Inputs from relevant offices consolidated?
- Draft submitted for Security Council consideration?
- Council decision formally recorded?
- Next steps for implementation clarified?</t>
  </si>
  <si>
    <t xml:space="preserve"> - Revised budget finalized and approved?
- Resource and staffing implications confirmed?
- Integration plan implemented as scheduled?
- Operational arrangements aligned between offices?
- Progress and remaining gaps documented?</t>
  </si>
  <si>
    <t>Rosemary Anne Di Carlo, USG DPPA, rosemary.dicarlo@un.org;
Martha Pobee, ASG DPPA-DPO, martha.pobee@un.org</t>
  </si>
  <si>
    <t>Markus Bouillon, Principal Political Affairs Officer, DPPA, bouillonm@un.org;
OASG Africa</t>
  </si>
  <si>
    <t xml:space="preserve"> - Final options or proposal reviewed?
- Inputs from relevant offices consolidated?
- Consultations with Security Council members held?
- Decision or guidance formally recorded?
- Next implementation steps clarified?</t>
  </si>
  <si>
    <t xml:space="preserve"> - Revised budget finalized and approved?
- Structural and staffing implications confirmed?
- Integration steps implemented as planned?
- Coordination arrangements aligned between offices?
- Progress and remaining issues documented?</t>
  </si>
  <si>
    <t>Markus Bouillon, Principal Political Affairs Officer, DPPA, bouillonm@un.org;
Marco Bianchini, Principal Political Affairs Officer, DPO, bianchinim@un.org;
Kayoko Gotoh, Director Political Affairs, DPPA-DPO, gotoh@un.org</t>
  </si>
  <si>
    <t xml:space="preserve"> - Revised estimates finalized?
- Submission prepared for GA review?
- GA endorsement formally recorded?
- Resource and structural implications confirmed?
- Next steps communicated?</t>
  </si>
  <si>
    <t xml:space="preserve"> - Alignment measures finalized?
- Roles and workflows clarified?
- Operational coordination strengthened?
- Resource and staffing adjustments confirmed?
- Remaining implementation steps documented?</t>
  </si>
  <si>
    <t>Markus Bouillon, Principal Political Affairs Officer, DPPA, bouillonm@un.org;
Kayoko Gotoh, Director Political Affairs, DPPA-DPO, gotoh@un.org;
OASG ECAA</t>
  </si>
  <si>
    <t xml:space="preserve"> - Revised estimates finalized?
- Submission prepared for GA review?
- GA endorsement formally recorded?
- Resource implications confirmed?
- Next steps communicated?</t>
  </si>
  <si>
    <t xml:space="preserve"> - Structural changes finalized?
- Roles and reporting lines adjusted?
- Staffing and resources realigned?
- Operational arrangements functioning as intended?
- Remaining implementation steps documented?</t>
  </si>
  <si>
    <t xml:space="preserve">Markus Bouillon, Principal Political Affairs Officer, DPPA, bouillonm@un.org;
Asif Khan, Director Political Affiars, DPPA, khan34@un.org
</t>
  </si>
  <si>
    <t>Assessment of prerequisite actions prepared for Secretary-General's consideration</t>
  </si>
  <si>
    <t xml:space="preserve"> - Required resources and cost parameters defined?
- Funding arrangements agreed?
- Administrative and HR conditions confirmed?
- Host RC roles and responsibilities clarified?
- Readiness for deployment validated?</t>
  </si>
  <si>
    <t xml:space="preserve"> - PDA hosting arrangements with RECs confirmed?
- Financial and administrative conditions met?
- Roles and workflows clarified?
- Deployment or co-location initiated?
- Ongoing feasibility and gaps reviewed?</t>
  </si>
  <si>
    <t>Markus Bouillon, Principal Political Affairs Officer, DPPA, bouillonm@un.org;</t>
  </si>
  <si>
    <t>Proposals prepared for the Secretary-General's consideration</t>
  </si>
  <si>
    <t xml:space="preserve"> - Mandate requirements clarified?
- Budgetary needs defined?
- Operational constraints mapped?
- Required approvals identified?
- Key challenges documented?</t>
  </si>
  <si>
    <t xml:space="preserve"> - Final collaboration options consolidated?
- Inputs from SPMs and RECs addressed?
- Proposed co-location and coordination model clarified?
- Resource and mandate implications reviewed?
- Submission package prepared for decision?</t>
  </si>
  <si>
    <t>Rosemary Anne Di Carlo, USG DPPA, rosemary.dicarlo@un.org; Elizabeth Spehar, ASG DPPA-PBSO, spehare@un.org;
Izumi Nakamitsu, USG ODA, nakamitsu@un.org;
Alexandre Zouev, USG OCT, alexandre.zouev@un.org</t>
  </si>
  <si>
    <t>Markus Bouillon, Principal Political Affairs Officer, DPPA, bouillonm@un.org;
Awa Dabo, Director Political Affairs, awa.dabo@un.org;
ODA, OCT</t>
  </si>
  <si>
    <t>DPPA; ODA; UNOCT</t>
  </si>
  <si>
    <t>Clarify meaning of this action</t>
  </si>
  <si>
    <t>Align surge capacities as possible</t>
  </si>
  <si>
    <t>Concept note prepared for the Secretary-General's consideration</t>
  </si>
  <si>
    <t xml:space="preserve"> - Problem statement and objectives clarified?
- Scope and boundaries defined?
- Relevant surge functions mapped?
- Stakeholder inputs gathered?
- Draft clarification note prepared?</t>
  </si>
  <si>
    <t xml:space="preserve"> - Surge functions and capacities mapped?
- Regional needs and gaps identified?
- Alignment options reviewed with relevant entities?
- Roles and deployment protocols clarified?
- Initial alignment measures implemented?</t>
  </si>
  <si>
    <t>DPPA; DCO</t>
  </si>
  <si>
    <t>Recommendations prepared for the Secretary-General's consideration</t>
  </si>
  <si>
    <t xml:space="preserve"> - Resource requirements defined?
- Funding arrangements agreed?
- Administrative and HR conditions confirmed?
- Roles within RCOs clarified?
- Readiness for implementation validated?</t>
  </si>
  <si>
    <t xml:space="preserve"> - RCOs requiring PDA support confirmed?
- Financial and administrative conditions reviewed?
- Deployment or allocation of PDAs initiated?
- Roles and workflows within RCOs clarified?
- Ongoing feasibility and gaps monitored?</t>
  </si>
  <si>
    <t>ODA</t>
  </si>
  <si>
    <t>USG UNODC; USG OCT</t>
  </si>
  <si>
    <t>John Brandolino, USG UNODC; john.brandolino@un.org; Alexandre Zouev, USG UNOCT, alexandre.zouev@un.org</t>
  </si>
  <si>
    <t xml:space="preserve">Candice Welsch, Director for Policy and Public Affairs, UNODC, candice.welsch@un.org   
</t>
  </si>
  <si>
    <t>Concept note on integration submitted to the Secretary-General</t>
  </si>
  <si>
    <t>Concept note to integrate the UN Interregional Crime and Justice Research Institute (UNICRI) into the UN Office on Drugs and Crime (UNODC) submitted to the Secretary-General</t>
  </si>
  <si>
    <t xml:space="preserve"> - Problem statement and objectives defined?
- Initial concept drafted?
- Dependencies and feasibility issues identified?
- Inputs from technical leads incorporated?
- Concept note validated for next steps?</t>
  </si>
  <si>
    <t xml:space="preserve"> - Final integration proposal submitted?
- Member State inputs addressed?
- ECOSOC resolution adopted and recorded?
- Structural and operational implications confirmed?
- Next steps for implementation outlined?</t>
  </si>
  <si>
    <t xml:space="preserve">Mr. Eihab Omaish, Director for Policy and Coordination, UNOCT, omaish@un.org; 
Mr. Mauro Miedico, Director for Capacity Building, UNOCT, mauro.miedico@un.org 
</t>
  </si>
  <si>
    <t>UNOCT will provide a status update on consultations undertaken with the Global Counter-Terrorism Coordination Compact with a view to adopting by June a series of specific measures options to strengthen coordination and coherence</t>
  </si>
  <si>
    <t>Global Counter-Terrorism Coordination Compact Committee will have taken a decision and collectively committed to specific measures</t>
  </si>
  <si>
    <t xml:space="preserve">Specific measures to reinforce cooperation on counterterrorism and violent extremism proposed for consideration by the Global Counter-Terrorism Coordination Compact Committee </t>
  </si>
  <si>
    <t xml:space="preserve"> - Problem statement and objectives confirmed?
- Draft options paper completed?
- Inputs from Compact entities incorporated?
- Circulation list validated?
- Options paper circulated to Committee?</t>
  </si>
  <si>
    <t xml:space="preserve"> - Final measures proposed to the Committee reviewed?
- Inputs from Compact entities addressed?
- Committee decision formally recorded?
- Collective commitments agreed and communicated?
- Next implementation steps clarified?</t>
  </si>
  <si>
    <t>Mr. Eihab Omaish, Director for Policy and Coordination, UNOCT, omaish@un.org; 
Mr. Mauro Miedico, Director for Capacity Building, UNOCT, mauro.miedico@un.org;
Ms. Oguljeren Niyazberdiyeva, Chief, Officer of the Under-Secretary-General, UNOCT, niyazberdiyeva@un.org;
Mr. Mehdi Knani, Chief of Section, Front Office/OUSG, UNOCT, mehdi.knani@un.org;
Ms. Tamara Anderson, Chief of Section, Policy, Knowledge and Coordination Branch, UNOCT, andersont@un.org;
Roberto Arbitrio, Chief, Terrorism Prevention Branch, UNODC, roberto.arbitrio@un.org;
Kate Fitzpatrick, Chief, Implementation Support Section, UNODC, kate.fitzpatrick@un.org;
Alejandro Matta Maya, Policy Coordination Officer, UNODC, alejandro.matta@un.org;</t>
  </si>
  <si>
    <t>UNOCT; UNODC</t>
  </si>
  <si>
    <t>Action Members (principals) meet at least two times to discuss ideas</t>
  </si>
  <si>
    <t>The Director overseeing the UNODC Terrorism Prevention Branch would also report to the Under-Secretary-General for Counter-Terrorism</t>
  </si>
  <si>
    <t>Reporting arrangements for the Director overseeing the UNODC Terrorism Prevention Branch adjusted to include the Under-Secretary-General for Counter-Terrorism</t>
  </si>
  <si>
    <t xml:space="preserve"> - Key stakeholders identified?
- Prep materials shared?
- Agenda for principals’ discussions agreed?
- Meetings convened as planned?
- Initial ideas and positions documented?</t>
  </si>
  <si>
    <t xml:space="preserve"> - Reporting-line adjustment agreed?
- Administrative and HR implications confirmed?
- Coordination arrangements between UNODC and UNOCT clarified?
- Change implemented by the deadline?
- Initial functionality and gaps reviewed?</t>
  </si>
  <si>
    <t>DSG; ED UNAIDS</t>
  </si>
  <si>
    <t xml:space="preserve">Amina Mohammed, DSG, amina.mohammed@un.org;
Winnie Byanyima, ED UNAIDS, byanyimaw@unaids.org,
</t>
  </si>
  <si>
    <t>Mahesh Mahalingam, Chief of Staff, UNAIDS, maheshm@unaids.org;
Morten Ussing, Director Governance,  UNDAIS, ussingm@unaids.org;
Christine Stegling, ASG Deputy Executive Director, UNAIDS, steglingc@unaids.org</t>
  </si>
  <si>
    <t xml:space="preserve">UNAIDS Board agrees process for delivering a final plan for full transformation of UNAIDS that is aligned with UN80;  AIDS Strategy adopted
</t>
  </si>
  <si>
    <t>UNAIDS Board approves final transformation plan</t>
  </si>
  <si>
    <t>Expanded timeline available as attachment</t>
  </si>
  <si>
    <t>Terms of reference for a Working Group to develop a plan on the further transition and integration of UNAIDS into the UN system and beyond, in coherence with the UN80 Initiative, finalized</t>
  </si>
  <si>
    <t>- Initial concept drafted?
- Processes mapped?
- Stakeholders mapped?
- concept circulated among stakeholders?
- Plan drafted?</t>
  </si>
  <si>
    <t xml:space="preserve"> - Final transformation plan consolidated?
- Board review completed?
- Approval formally recorded?
- Roles and capacities to be mainstreamed clarified?
- Next steps for transition outlined?</t>
  </si>
  <si>
    <t>(Pending proposals)</t>
  </si>
  <si>
    <t>USG UNEP; ES UNFCCC</t>
  </si>
  <si>
    <t>Ligia Noronha, ASG and Head of the NYO, UNEP, ligia.noronha@un.org;
Rafael Peralta, Regional Director for North America, UNEP peralta@un.org;
Nicolas Bertrand, Chief of Staff, nicolas.bertrand@un.org;
UNEP's Executive Office;
Daniele Violetti, Senior Director Programmes Coordination, UNFCCC, dvioletti@unfccc.int;
James Grabert, Director Mitigation, UNFCCC, JGrabert@unfccc.int;
Joanna MacGregor, Chief Strategy and UN Affairs, UNFCCC, jmacgregor@unfccc.int</t>
  </si>
  <si>
    <t>UNDP; DPPA; UNCTAD; IFAD; OHCHR; UNEP; UNFCCC</t>
  </si>
  <si>
    <t>Assessment of current arrangements and proposals on possible structural changes and programme realignments on environmental issues</t>
  </si>
  <si>
    <t>Assessment of current arrangements and proposals on possible structural changes and programme realignments finalized for the Secretary-General’s consideration</t>
  </si>
  <si>
    <t>Assessment of current arrangements and proposals on possible structural changes and programme realignments on environmental issues finalized for the Secretary-General’s consideration</t>
  </si>
  <si>
    <t xml:space="preserve"> - Scope and objectives of assessment agreed?
- Methodology and data needs defined?
- Timeline and milestones confirmed?
- Expected outcomes and deliverables specified?
- TOR validated with key stakeholders?</t>
  </si>
  <si>
    <t xml:space="preserve"> - Scope, methodology and data needs confirmed?
- Inputs on science, coordination, hubs and alignments consolidated?
- Analysis of current arrangements and gaps completed?
- Options and recommendations on structural changes and realignments drafted?
- Final assessment validated with key technical and policy leads?</t>
  </si>
  <si>
    <t>USG DESA; ES ECA; SG UNCTAD</t>
  </si>
  <si>
    <t>Library NY, Global Pulse, OPPFB</t>
  </si>
  <si>
    <t>mandates.un.org updated with data for the 2027 Programme Budget and 2026/27 Peacekeeping Budgets and a proposal for sustainability finalized</t>
  </si>
  <si>
    <t>mandates.un.org includes full text for 80 percent of mandate sources and links to mandate registries for at least 10 non-UN Secretariat entities</t>
  </si>
  <si>
    <t>mandates.un.org updated with data for the proposed 2027 Programme Budget and proposed 2026/27 Peacekeeping Budgets</t>
  </si>
  <si>
    <t>Potential approaches consulted with stakeholders via technical briefings and surveys, systemchart.un.org launched, and open.un.org updated</t>
  </si>
  <si>
    <t>Improved portfolio of tools to support Member States across the mandate lifecycle available, including to provide consolidated, timely, and comparable information on mandates, resources, activities, and results across the UN system</t>
  </si>
  <si>
    <t xml:space="preserve">First set of digital tools launched and technical briefings for delegates set up </t>
  </si>
  <si>
    <t>Mr. Movses Abelian USG DGACM, abelian@un.org;
Mr. Li Junhua, USG DESA, junhua.li@un.org;
Ms. Rosemary A. DiCarlo, USG DPPA, rosemary.dicarlo@un.org;
Mr. Jean-Pierre 
Lacroix, USG DPO, jean-pierre.lacroix@un.org;
Ms. Ilze Brands Kehris, ASG OHCHR, ilze.brandskehris@un.org</t>
  </si>
  <si>
    <t>Oumar Diallo, Special Assistant to the Chef de Cabinet, EOSG, dialloo@un.org;
Claudia Banz, Director, Political Affairs, banz@un.org;
Natalia Bondonno, Director, Conference Services DGACM, bondonno@un.org;
Wai Min Kwok, Principal Programme Management Officer DESA, kwok@un.org;
Mariana Olivera West, Chief of Service Human Rights OHCHR, mariana.oliverawest@un.org;
Masud Rana, Chief of Section, DGACM, rana@un.org;
Wannes Lint, Intergovernmental Affairs Officer, DGACM, lint@un.org; James Sutterlin, Chief of Service Political Affairs, DPPA, sutterlin@un.org;
Hussein Elshaar, Senior Programme Management Officer, el-shaar@un.org;
Kersten Jauer, Deputy-Director Strategic Planning Unit, EOSG, jauer@un.org;
Putu Ustriyana, Programme Management Officer, EOSG, putu.ustriyana@un.org;
Nita Syvaeoja, Associate Expert, EOSG, nita.syvaeoja@un.org;
Melanie Ramjoue, Senior Programme Officer, Partnerships, EOSG, ramjoue@un.org</t>
  </si>
  <si>
    <t>DGACM; DESA; DPPA; DPO; OHCHR; EOSG (USG Policy)</t>
  </si>
  <si>
    <t>Guidance on word limits and compliance issued</t>
  </si>
  <si>
    <t>Guidance on word limits and compliance updated, based on outcomes of UN80 Initiative workstream 2</t>
  </si>
  <si>
    <t>Assessment and potential relevant actions finalized for the Secretary-General's consideration</t>
  </si>
  <si>
    <r>
      <rPr>
        <b/>
        <sz val="11"/>
        <color theme="1"/>
        <rFont val="Aptos Narrow"/>
        <family val="2"/>
        <scheme val="minor"/>
      </rPr>
      <t xml:space="preserve">14 Jan:
Oumar:
</t>
    </r>
    <r>
      <rPr>
        <sz val="11"/>
        <color theme="1"/>
        <rFont val="Aptos Narrow"/>
        <family val="2"/>
        <scheme val="minor"/>
      </rPr>
      <t xml:space="preserve">- DGACM (in consult with other depts) will send guidelines not CDC as part of cash conservation - submit draft to CDC and MS
- Will include report word, facility mgmt
- Once correspondence go out, they write to dept communicating instrx of word limit
- We need to get when we'll get correspondence (end of Feb last year)
</t>
    </r>
    <r>
      <rPr>
        <b/>
        <sz val="11"/>
        <color theme="1"/>
        <rFont val="Aptos Narrow"/>
        <family val="2"/>
        <scheme val="minor"/>
      </rPr>
      <t>KJ:</t>
    </r>
    <r>
      <rPr>
        <sz val="11"/>
        <color theme="1"/>
        <rFont val="Aptos Narrow"/>
        <family val="2"/>
        <scheme val="minor"/>
      </rPr>
      <t xml:space="preserve"> When it's SC - could be an update
</t>
    </r>
    <r>
      <rPr>
        <b/>
        <sz val="11"/>
        <color theme="1"/>
        <rFont val="Aptos Narrow"/>
        <family val="2"/>
        <scheme val="minor"/>
      </rPr>
      <t>Oumar:</t>
    </r>
    <r>
      <rPr>
        <sz val="11"/>
        <color theme="1"/>
        <rFont val="Aptos Narrow"/>
        <family val="2"/>
        <scheme val="minor"/>
      </rPr>
      <t xml:space="preserve">
- If most ready by Feb, can be in Feb</t>
    </r>
  </si>
  <si>
    <t>A survey to identify reports/notes that could potentially be consolidated or have their reporting frequency adjusted conducted</t>
  </si>
  <si>
    <t>Building on the outcome of workstream 2, first action plan implemented to reduce/improve overlap, fragmentation and periodicity of reporting</t>
  </si>
  <si>
    <t>Assessment and potential actions finalized for the Secretary-General's consideration</t>
  </si>
  <si>
    <r>
      <rPr>
        <b/>
        <sz val="11"/>
        <color theme="1"/>
        <rFont val="Aptos Narrow"/>
        <family val="2"/>
        <scheme val="minor"/>
      </rPr>
      <t xml:space="preserve">14 Jan:
KJ:
</t>
    </r>
    <r>
      <rPr>
        <sz val="11"/>
        <color theme="1"/>
        <rFont val="Aptos Narrow"/>
        <family val="2"/>
        <scheme val="minor"/>
      </rPr>
      <t xml:space="preserve">- Update digital team work on survey allowing colleagues to review reports by this week for testing
- Schedule with Melanie, and others, Fri or early next week
</t>
    </r>
    <r>
      <rPr>
        <b/>
        <sz val="11"/>
        <color theme="1"/>
        <rFont val="Aptos Narrow"/>
        <family val="2"/>
        <scheme val="minor"/>
      </rPr>
      <t xml:space="preserve">Oumar:
</t>
    </r>
    <r>
      <rPr>
        <sz val="11"/>
        <color theme="1"/>
        <rFont val="Aptos Narrow"/>
        <family val="2"/>
        <scheme val="minor"/>
      </rPr>
      <t xml:space="preserve">- Need chronology of resolutions -- survey needs to be quick
- Can distribute by next week -- so we have results by end of Jan
- Memo/distribution from USG Ryder
</t>
    </r>
    <r>
      <rPr>
        <b/>
        <sz val="11"/>
        <color theme="1"/>
        <rFont val="Aptos Narrow"/>
        <family val="2"/>
        <scheme val="minor"/>
      </rPr>
      <t xml:space="preserve">KJ: </t>
    </r>
    <r>
      <rPr>
        <sz val="11"/>
        <color theme="1"/>
        <rFont val="Aptos Narrow"/>
        <family val="2"/>
        <scheme val="minor"/>
      </rPr>
      <t xml:space="preserve">How to refer to CDC since CDC is lead of WP?
</t>
    </r>
    <r>
      <rPr>
        <b/>
        <sz val="11"/>
        <color theme="1"/>
        <rFont val="Aptos Narrow"/>
        <family val="2"/>
        <scheme val="minor"/>
      </rPr>
      <t>Oumar:</t>
    </r>
    <r>
      <rPr>
        <sz val="11"/>
        <color theme="1"/>
        <rFont val="Aptos Narrow"/>
        <family val="2"/>
        <scheme val="minor"/>
      </rPr>
      <t xml:space="preserve"> Will think abt this </t>
    </r>
  </si>
  <si>
    <t>Interim guidelines on reporting format options for different types of information requests endorsed</t>
  </si>
  <si>
    <t>Full guidelines on reporting format options for different types of information requests issued, in line with the outcome of UN80 Initiative workstream 2</t>
  </si>
  <si>
    <t>Draft action plan prepared for the Secretary-General's consideration</t>
  </si>
  <si>
    <r>
      <rPr>
        <b/>
        <sz val="11"/>
        <color theme="1"/>
        <rFont val="Aptos Narrow"/>
        <family val="2"/>
        <scheme val="minor"/>
      </rPr>
      <t>14 Jan:</t>
    </r>
    <r>
      <rPr>
        <sz val="11"/>
        <color theme="1"/>
        <rFont val="Aptos Narrow"/>
        <family val="2"/>
        <scheme val="minor"/>
      </rPr>
      <t xml:space="preserve">
</t>
    </r>
    <r>
      <rPr>
        <b/>
        <sz val="11"/>
        <color theme="1"/>
        <rFont val="Aptos Narrow"/>
        <family val="2"/>
        <scheme val="minor"/>
      </rPr>
      <t xml:space="preserve">KJ: </t>
    </r>
    <r>
      <rPr>
        <sz val="11"/>
        <color theme="1"/>
        <rFont val="Aptos Narrow"/>
        <family val="2"/>
        <scheme val="minor"/>
      </rPr>
      <t xml:space="preserve">Prob can bring to SteerCo abt reporting format
</t>
    </r>
    <r>
      <rPr>
        <b/>
        <sz val="11"/>
        <color theme="1"/>
        <rFont val="Aptos Narrow"/>
        <family val="2"/>
        <scheme val="minor"/>
      </rPr>
      <t>Oumar:</t>
    </r>
    <r>
      <rPr>
        <sz val="11"/>
        <color theme="1"/>
        <rFont val="Aptos Narrow"/>
        <family val="2"/>
        <scheme val="minor"/>
      </rPr>
      <t xml:space="preserve">
- Melanie prepped some drafts, provided comments
- How to really move forward - do we circulate among working group for comments and revisions
- Submitted to Principals for endorsement before going to SC
</t>
    </r>
    <r>
      <rPr>
        <b/>
        <sz val="11"/>
        <color theme="1"/>
        <rFont val="Aptos Narrow"/>
        <family val="2"/>
        <scheme val="minor"/>
      </rPr>
      <t xml:space="preserve">KJ: </t>
    </r>
    <r>
      <rPr>
        <sz val="11"/>
        <color theme="1"/>
        <rFont val="Aptos Narrow"/>
        <family val="2"/>
        <scheme val="minor"/>
      </rPr>
      <t>Wondering if we should do it with draft resolution</t>
    </r>
  </si>
  <si>
    <t>Mr. Movses Abelian USG DGACM, abelian@un.org, Ms. Melissa Fleming, USG DGC, melissa.fleming@un.org;
Bernardo Mariano Junior, ASG OICT, bmariano@un.org</t>
  </si>
  <si>
    <t>Oumar Diallo, Special Assistant to the Chef de Cabinet, EOSG, dialloo@un.org;
Natalia Bondonno, Director, Conference Services DGACM, bondonno@un.org;
Wannes Lint, Intergovernmental Affairs Officer, DGACM, lint@un.org; Kersten Jauer, Deputy-Director Strategic Planning Unit, EOSG, jauer@un.org;
Putu Ustriyana, Programme Management Officer, EOSG, putu.ustriyana@un.org;
Nita Syvaeoja, Associate Expert, EOSG, nita.syvaeoja@un.org;
Melanie Ramjoue, Senior Programme Officer, Partnerships, EOSG, ramjoue@un.org;
Aikaterini Kitidi, Special Assistant, DGC, aikaterini.kitidi@un.org;
Athanasios Giannakopoulos, Chief of Section, Information Management, DGC, thanos.giannakopoulos@un.org;
Christina Goodness, Special Assistant Administration, OICT, goodness@un.org</t>
  </si>
  <si>
    <t>DGACM; DGC; OICT; EOSG (USG Policy)</t>
  </si>
  <si>
    <t>Technical feasibility of download counts on ODS and Digital Library confirmed</t>
  </si>
  <si>
    <t>Depending on feasibility, download count solution implemented</t>
  </si>
  <si>
    <t>Download count solutions implemented</t>
  </si>
  <si>
    <t>Download count solution implemented</t>
  </si>
  <si>
    <r>
      <rPr>
        <b/>
        <sz val="11"/>
        <color theme="1"/>
        <rFont val="Aptos Narrow"/>
        <family val="2"/>
        <scheme val="minor"/>
      </rPr>
      <t xml:space="preserve">14 Jan:
Oumar:
</t>
    </r>
    <r>
      <rPr>
        <sz val="11"/>
        <color theme="1"/>
        <rFont val="Aptos Narrow"/>
        <family val="2"/>
        <scheme val="minor"/>
      </rPr>
      <t xml:space="preserve">- First step needs to send download data and methodology
- Need contact details
</t>
    </r>
    <r>
      <rPr>
        <b/>
        <sz val="11"/>
        <color theme="1"/>
        <rFont val="Aptos Narrow"/>
        <family val="2"/>
        <scheme val="minor"/>
      </rPr>
      <t>KJ:</t>
    </r>
    <r>
      <rPr>
        <sz val="11"/>
        <color theme="1"/>
        <rFont val="Aptos Narrow"/>
        <family val="2"/>
        <scheme val="minor"/>
      </rPr>
      <t xml:space="preserve">
- 2 main platforms: ODS (DGACM administered), UN Digital Library (DGC)
- ODS has functionality to show download -- instruction to their team to make changes
- We have up to mid 2025
- We're connected with Digital Library -- we can have our team ask how to count downloads
</t>
    </r>
    <r>
      <rPr>
        <b/>
        <sz val="11"/>
        <color theme="1"/>
        <rFont val="Aptos Narrow"/>
        <family val="2"/>
        <scheme val="minor"/>
      </rPr>
      <t xml:space="preserve">Oumar:
</t>
    </r>
    <r>
      <rPr>
        <sz val="11"/>
        <color theme="1"/>
        <rFont val="Aptos Narrow"/>
        <family val="2"/>
        <scheme val="minor"/>
      </rPr>
      <t xml:space="preserve">- Since we agree to share data and method first
- We can go back to Principals -- go to Task Force meeting -- find middle ground here
- Decisions of Principals
- Can we share with working level group
</t>
    </r>
    <r>
      <rPr>
        <b/>
        <sz val="11"/>
        <color theme="1"/>
        <rFont val="Aptos Narrow"/>
        <family val="2"/>
        <scheme val="minor"/>
      </rPr>
      <t>KJ:</t>
    </r>
    <r>
      <rPr>
        <sz val="11"/>
        <color theme="1"/>
        <rFont val="Aptos Narrow"/>
        <family val="2"/>
        <scheme val="minor"/>
      </rPr>
      <t xml:space="preserve"> Wonder if will raise concerns/questions. Is it technical or principal level?
Oumar: Who's going to do it?
</t>
    </r>
    <r>
      <rPr>
        <b/>
        <sz val="11"/>
        <color theme="1"/>
        <rFont val="Aptos Narrow"/>
        <family val="2"/>
        <scheme val="minor"/>
      </rPr>
      <t>KJ:</t>
    </r>
    <r>
      <rPr>
        <sz val="11"/>
        <color theme="1"/>
        <rFont val="Aptos Narrow"/>
        <family val="2"/>
        <scheme val="minor"/>
      </rPr>
      <t xml:space="preserve"> We're going to do this part, in 1 week
</t>
    </r>
    <r>
      <rPr>
        <b/>
        <sz val="11"/>
        <color theme="1"/>
        <rFont val="Aptos Narrow"/>
        <family val="2"/>
        <scheme val="minor"/>
      </rPr>
      <t>Oumar:</t>
    </r>
    <r>
      <rPr>
        <sz val="11"/>
        <color theme="1"/>
        <rFont val="Aptos Narrow"/>
        <family val="2"/>
        <scheme val="minor"/>
      </rPr>
      <t xml:space="preserve"> Other indicators to complement the download
</t>
    </r>
    <r>
      <rPr>
        <b/>
        <sz val="11"/>
        <color theme="1"/>
        <rFont val="Aptos Narrow"/>
        <family val="2"/>
        <scheme val="minor"/>
      </rPr>
      <t>KJ:</t>
    </r>
    <r>
      <rPr>
        <sz val="11"/>
        <color theme="1"/>
        <rFont val="Aptos Narrow"/>
        <family val="2"/>
        <scheme val="minor"/>
      </rPr>
      <t xml:space="preserve"> Maybe can task other tech people to come up with other indicators
</t>
    </r>
    <r>
      <rPr>
        <b/>
        <sz val="11"/>
        <color theme="1"/>
        <rFont val="Aptos Narrow"/>
        <family val="2"/>
        <scheme val="minor"/>
      </rPr>
      <t xml:space="preserve">Oumar: </t>
    </r>
    <r>
      <rPr>
        <sz val="11"/>
        <color theme="1"/>
        <rFont val="Aptos Narrow"/>
        <family val="2"/>
        <scheme val="minor"/>
      </rPr>
      <t xml:space="preserve">When providing methodology, already write disclaimer on what's not working
</t>
    </r>
  </si>
  <si>
    <t>CAP in New York</t>
  </si>
  <si>
    <t>USG DMSPC; USG DOS</t>
  </si>
  <si>
    <t>Patrick Carey; Director DOS, careyp@un.org</t>
  </si>
  <si>
    <t>DOS; DMSPC</t>
  </si>
  <si>
    <t>CAP established with initial operating capacity and all Executive Office personnel reporting to DOS</t>
  </si>
  <si>
    <t>CAP fully operational</t>
  </si>
  <si>
    <t xml:space="preserve"> - Structure and operating model finalized?
- Roles and reporting lines confirmed?
- Executive Office personnel transitioned to DOS?
- Initial operating capacity validated?
- Next steps for full operationalization agreed?</t>
  </si>
  <si>
    <t xml:space="preserve"> - Structure and workflows fully implemented?
- Staffing and reporting lines confirmed?
- Service delivery functioning as intended?
- Performance and early results reviewed?
- Remaining operational gaps addressed?</t>
  </si>
  <si>
    <t>Payroll consolidation</t>
  </si>
  <si>
    <t>Core payroll functions for five existing payroll offices consolidated into the proposed Global Payroll Centres</t>
  </si>
  <si>
    <t>- Core payroll functions to be consolidated mapped?
- Participating departments and offices mapped?
- Concept for Global Payroll Centre finalized?
- Global Payroll Centre plans finalized?</t>
  </si>
  <si>
    <t>CAP expansion</t>
  </si>
  <si>
    <t>Giovanna Ceglie, Director Administration DOS, giovanna.ceglie@un.org</t>
  </si>
  <si>
    <t>Phase II CAPs endorsed for inclusion in RB 2027</t>
  </si>
  <si>
    <t>Project Implementation Teams established in each location to develop detailed CAP operating models, governance and change management mechanisms</t>
  </si>
  <si>
    <t xml:space="preserve"> - Final proposals reviewed?
- Comments addressed before endorsement?
- Endorsement decision recorded?
- Roles and responsibilities clarified?
- Next steps for implementation agreed?</t>
  </si>
  <si>
    <t xml:space="preserve"> - Final Phase II proposals consolidated?
- GA approval formally recorded?
- Roles and responsibilities confirmed?
- Implementation arrangements clarified?
- Next steps for operationalization outlined?</t>
  </si>
  <si>
    <t>Contractual translation &amp; documentation</t>
  </si>
  <si>
    <t>Cherith A Norman Chalet, Assistant Secretary-General DGACM, normanchalet@un.org</t>
  </si>
  <si>
    <t>DGACM; DOS; DMSPC</t>
  </si>
  <si>
    <t>31 December 2025: Complete analysis of survey on scope of contractual translation services to determine potential management mechanisms and their viability</t>
  </si>
  <si>
    <t xml:space="preserve">Determination of the final milestone is subject to the outcome of milestone 1 and analysis of survey
</t>
  </si>
  <si>
    <t>Proposals finalized for management consideration</t>
  </si>
  <si>
    <t>- Survey finalized?
- Initial results finalized?
- Potential mechanism outcomes mapped?</t>
  </si>
  <si>
    <t>ICT consolidation</t>
  </si>
  <si>
    <t>Bernardo Mariano Junior, Assistant Secretary-General OICT, bmariano@un.org</t>
  </si>
  <si>
    <t>OICT; DMSPC; DOS</t>
  </si>
  <si>
    <t>Pilot begins of Data Center Consolidation initiative; Pending approval of Phase I of the Secretariat ICT Consolidation and Digital Hubs: establishment of first Digital hub in Valencia</t>
  </si>
  <si>
    <t>Pilot concluded, lessons learned exercise completed, Phase I plan created</t>
  </si>
  <si>
    <t>- Phase I of the Secretariat ICT Consolidation and Digital Hubs: establishment of first Digital hub in Valencia finalized?
- Pilot locations determined?
- Initiative concept finalized?
- Participating agencies, offices and departments mapped?</t>
  </si>
  <si>
    <t>HRA consolidation</t>
  </si>
  <si>
    <t>Paulin Djomo Metanhi, Director RSCE, djomo@un.org</t>
  </si>
  <si>
    <t>RSCE; DMSPC; DOS</t>
  </si>
  <si>
    <t>31 December 2025: Phase one of the consolidation review completed</t>
  </si>
  <si>
    <t>Subject to Steering Group endorsement and the approval of business case. Implementation not expected before December 2026</t>
  </si>
  <si>
    <t>Consider adjusting final milestone date to earlier potential checkpoint, if possible.</t>
  </si>
  <si>
    <t>- Phase I of the consolidation review finished? 
- Any results to be highlighted?
- Plans for endorsement of consolidation finalized?
- Next steps after consolidation is endorsed between January and August 2026?</t>
  </si>
  <si>
    <t>Travel consolidation</t>
  </si>
  <si>
    <t>31 December 2025: Endorsement of business case by Steering Group (to be implemented in phases)</t>
  </si>
  <si>
    <t>No later than 31 December 2026: Phase 1 Travel Processing Office consolidation completed and operational. 
31 December 2027: Phase 2 Travel Processing Office Consolidation (Regional Hubs) established. Full operational readiness subject to implementation of new travel management company contracts/procurement process (likely through 2028)</t>
  </si>
  <si>
    <t>- Any milestones between January and December 2026 to operationalize Phase I Traveling Processing Office?
- Concept finalized?
- Participating departments and agencies mapped?</t>
  </si>
  <si>
    <t>UN80 Actions, Internal Milestones, and Public Milestone Info - Draft</t>
  </si>
  <si>
    <t>(Data as of 23 January 2026, 2:00pm)</t>
  </si>
  <si>
    <t>Action</t>
  </si>
  <si>
    <t>Action Text</t>
  </si>
  <si>
    <t>Internal: Milestone 1</t>
  </si>
  <si>
    <t>Internal:
Milestone 1 Deadline</t>
  </si>
  <si>
    <t>Internal:
Milestone Final</t>
  </si>
  <si>
    <t>Internal:
Milestone Final Deadline</t>
  </si>
  <si>
    <t>Public: 
Upcoming Milestone</t>
  </si>
  <si>
    <t>Public: 
Delivery Date</t>
  </si>
  <si>
    <t>Public: 
Updates</t>
  </si>
  <si>
    <t>OLA</t>
  </si>
  <si>
    <t>Entities</t>
  </si>
  <si>
    <t>FP submitted</t>
  </si>
  <si>
    <t>Inputted to Hub</t>
  </si>
  <si>
    <t>FP inputted to email group</t>
  </si>
  <si>
    <t>Principal and FP inputted to WP All</t>
  </si>
  <si>
    <t>DGC</t>
  </si>
  <si>
    <t>Except new ASG</t>
  </si>
  <si>
    <t>IOM</t>
  </si>
  <si>
    <t>UNHCR</t>
  </si>
  <si>
    <t>only principal</t>
  </si>
  <si>
    <t>ILO</t>
  </si>
  <si>
    <t>WHO</t>
  </si>
  <si>
    <t>except obermeyerw@who.int</t>
  </si>
  <si>
    <t>Milestone 1 Month Filter</t>
  </si>
  <si>
    <t>All months</t>
  </si>
  <si>
    <t>WP Lead Filter</t>
  </si>
  <si>
    <t>Sense check Filter</t>
  </si>
  <si>
    <t>All Sense-checks</t>
  </si>
  <si>
    <t>M1 Month List</t>
  </si>
  <si>
    <t>MF Month List</t>
  </si>
  <si>
    <t>WP Lead List</t>
  </si>
  <si>
    <t>Entities List</t>
  </si>
  <si>
    <t>Sense Check List</t>
  </si>
  <si>
    <t>Final Milestone Month Filter</t>
  </si>
  <si>
    <t>Action Entity Filter</t>
  </si>
  <si>
    <t>All Entities</t>
  </si>
  <si>
    <t>All Leads</t>
  </si>
  <si>
    <t>Count of Action Entities</t>
  </si>
  <si>
    <t>Action Member(s)</t>
  </si>
  <si>
    <t>Milestone Final - Deadline</t>
  </si>
  <si>
    <t>Modified By</t>
  </si>
  <si>
    <t>ID</t>
  </si>
  <si>
    <t>Item Type</t>
  </si>
  <si>
    <t>Path</t>
  </si>
  <si>
    <t>USG DPPA;#USG DPO</t>
  </si>
  <si>
    <t>Marco Bianchini</t>
  </si>
  <si>
    <t>Item</t>
  </si>
  <si>
    <t>sites/UN80/Lists/UN80 Action Plan</t>
  </si>
  <si>
    <t>Markus Bouillon</t>
  </si>
  <si>
    <t>Elisa Dimagiba</t>
  </si>
  <si>
    <t>DSG;#Administrator UNDP;#ED UNOPS</t>
  </si>
  <si>
    <t>Fiona Bayat-Renoux [UNDP]</t>
  </si>
  <si>
    <t>DSG;#ED UNFPA;#ED UN Women</t>
  </si>
  <si>
    <t>Kelly White</t>
  </si>
  <si>
    <t>USG DESA;#SG UNCTAD</t>
  </si>
  <si>
    <t>Guenther Gross</t>
  </si>
  <si>
    <t xml:space="preserve">Leads: 
ITU: Ms. Doreen Bogdan-Martin, Secretary-General (sgo@itu.int)
UNDP Invited to co-Lead: Haoliang Xu, Acting Administrator (haoliang.xu@undp.org)
Members: 
FAO: Mr. Qu Dongyu, Director General (director-general@fao.org; dongyu.qu@fao.org)
ICAO: Mr. Juan Carlos Salazar, Secretary-General (OSGinbox@icao.int; jsalazar@icao.int)
ILO: Mr. Gilbert F. Houngbo, Director General (ILODirector-General@ilo.org)
UNIDO: Gerd Müller, Director General (ODG@unido.org)
WMO: Ms Celeste Saulo, Secretary-General (sgomm@wmo.int)
ITC: Ms. Pamela Coke-Hamilton, Executive Director and ASG  (cokehamilton@intracen.org); front office: Ascension Carrasco Rodriguez (carrasco@intracen.org)
UN Women: Sima Bahous, Executive Director. Sima Sami Bahous (sima.bahous@unwomen.org)
Regional Commissions: Mr. Claver Gatete, Coordinator of the Regional Commissions, ECA Executive Secretary (cgatete@un.org)
Ms. Tatiana Molcean, Executive Secretary of ECE (tatiana.molcean@un.org)
Mr. Mourad Wahba, Acting Executive of ESCWA Secretary  (mourad.wahba@un.org)
In addition, invited to contribute as standing members subject to confirmation:
WHO: Mr. Tedros Adhanom Ghebreyesus, Director General (dgoffice@who.int; drtedros@who.int) tbc
UNCTAD: Ms. Rebeca Grynspan, Secretary-General (rebeca.grynspan@unctad.org) tbc
</t>
  </si>
  <si>
    <t xml:space="preserve">ITU: Tomas Lamanauskas, Deputy Secretary-General (dsg@itu.int)
UNDP: Linda Maquire, Asst Secretary General and Director, Bureau for Management Services (linda.maguire@undp.org)
FAO:  Beth Crawford, Assistant Director-General/Director, Office of Strategy, Programme and Budget (beth.crawford@fao.org )
ICAO: Michiel Vreedenburgh, Chief Transformation Officer (MVreedenburgh@icao.int)
ILO: Ms. Laura Thompson, Assistant Director General, External and Corporate Relations (thompsonl@ilo.org)
UNIDO: Ms. Cecilia Ugaz Estrada, Deputy to the Director General (C.UGAZESTRADA@unido.org) tbc
WMO: Ko Barrett, DSG (dsgo@wmo.int)
ITC:  Mr. Mondher Mimouni, Director, Division of Market Development (mimouni@intracen.org)
UN Women: Nyaradzayi Gumbonzvanda. Deputy Executive Director Normative Support, System Coordination, Programme Results (n.gumbonzvanda@unwomen.org) 
Regional Commissions: 
Ms. Thilmeeza Hussain (thilmeeza.hussain@un.org) ECA
Mr. Aboubakri Diaw  (diaw2@un.org) ECA
Mr. Paul John Ladd  (paul.ladd@un.org) ECE
Ms. Maisaa Youssef (youssef8@un.org) ESCWA
Ms. Riwa Nasreddine (nasreddine@un.org) ESCWA
Support/Advisor:  SA Reform Jens Christian Wandel, USG and Special Adviser to the Secretary-General on Reforms (jens.wandel@un.org)
In addition, invited to contribute as standing members subject to confirmation:
ILO: Ms. Laura Thompson, Assistant Director General, External and Corporate Relations (thompsonl@ilo.org)
WHO: Bruce Aylward, Senior Advisor to the Director-General (aylwardb@who.int)
UNCTAD Tbc: 
 </t>
  </si>
  <si>
    <t>Concept endorsed. EOD design identifies all elements: such as online catalogue, mandatory first-point-of-call for RCs, standard contracts &amp; fee schedule.</t>
  </si>
  <si>
    <t>Mario Castro Grande [ITU]</t>
  </si>
  <si>
    <t xml:space="preserve">ITU: Tomas Lamanauskas, Deputy Secretary-General (dsg@itu.int)
UNDP: Linda Maquire, Asst Secretary General and Director, Bureau for Management Services (linda.maguire@undp.org)
FAO:  Beth Crawford, Assistant Director-General/Director, Office of Strategy, Programme and Budget (beth.crawford@fao.org )
ICAO: Michiel Vreedenburgh, Chief Transformation Officer (MVreedenburgh@icao.int)
ILO: Ms. Laura Thompson, Assistant Director General, External and Corporate Relations (thompsonl@ilo.org)
UNIDO: Ms. Cecilia Ugaz Estrada, Deputy to the Director General (C.UGAZESTRADA@unido.org) tbc
WMO: Ko Barrett, DSG (dsgo@wmo.int)
ITC:  Mr. Mondher Mimouni, Director, Division of Market Development (mimouni@intracen.org)
UN Women: Nyaradzayi Gumbonzvanda. Deputy Executive Director Normative Support, System Coordination, Programme Results (n.gumbonzvanda@unwomen.org) 
Regional Commissions: 
Ms. Thilmeeza Hussain (thilmeeza.hussain@un.org) ECA
Mr. Aboubakri Diaw  (diaw2@un.org) ECA
Mr. Paul John Ladd  (paul.ladd@un.org) ECE
Ms. Maisaa Youssef (youssef8@un.org) ESCWA
Ms. Riwa Nasreddine (nasreddine@un.org) ESCWA
Support/Advisor:  SA Reform Jens Christian Wandel, USG and Special Adviser to the Secretary-General on Reforms (jens.wandel@un.org)
In addition, invited to contribute as standing members subject to confirmation:
ILO: Ms. Laura Thompson, Assistant Director General, External and Corporate Relations (thompsonl@ilo.org)
WHO: Bruce Aylward, Senior Advisor to the Director-General (aylwardb@who.int)
UNCTAD Tbc: 
</t>
  </si>
  <si>
    <t>ASG DCO;#DSG</t>
  </si>
  <si>
    <t>USG OCHA;#DSG</t>
  </si>
  <si>
    <t>Chair HLCM;#ED WFP;#Co-Chairs BIG</t>
  </si>
  <si>
    <t>USG Policy;#Chair DTN;#SG ITU</t>
  </si>
  <si>
    <t>USG Policy;#USG DESA;#ED UNICEF</t>
  </si>
  <si>
    <t>ED UNITAR;#Rector UNU</t>
  </si>
  <si>
    <t>Jonas Hartle [UNITAR]</t>
  </si>
  <si>
    <t>Sabine Becker-Thierry [UNU]</t>
  </si>
  <si>
    <t>Tshilidzi Marwala [UNU]</t>
  </si>
  <si>
    <t>SA Reform;#ASG DCO</t>
  </si>
  <si>
    <t>Jens Christian Wandel</t>
  </si>
  <si>
    <t>USG Policy;#USG DGACM</t>
  </si>
  <si>
    <t>USG UNODC;#USG OCT</t>
  </si>
  <si>
    <t>Putu Ustriyana</t>
  </si>
  <si>
    <t>Mehdi Knani</t>
  </si>
  <si>
    <t>DSG;#ED UNAIDS</t>
  </si>
  <si>
    <t>Mahesh  Mahalingam [UNAIDS]</t>
  </si>
  <si>
    <t>USG UNEP;#ES UNFCCC</t>
  </si>
  <si>
    <t>Mara Angelica Murillo Correa</t>
  </si>
  <si>
    <t>USG DESA;#ES ECA;#SG UNCTAD</t>
  </si>
  <si>
    <t>USG DMSPC;#USG DOS</t>
  </si>
  <si>
    <t>Jaime Kearney</t>
  </si>
  <si>
    <r>
      <rPr>
        <b/>
        <sz val="11"/>
        <color theme="1"/>
        <rFont val="Aptos Narrow"/>
        <family val="2"/>
        <scheme val="minor"/>
      </rPr>
      <t xml:space="preserve">4 Feb:
Karen:
</t>
    </r>
    <r>
      <rPr>
        <sz val="11"/>
        <color theme="1"/>
        <rFont val="Aptos Narrow"/>
        <family val="2"/>
        <scheme val="minor"/>
      </rPr>
      <t>- Difficult to put it on dashboard, bcs there are a lot of pilots
- PPB 2027: SG indicated not to put UN80 on 2027 budget. Structural changes will be on 2028
- Workstream 1: elements of proposals will be on 2027 budget, either in Intro (still weighing whether this is helpful)
- Meeting next week to decide which to go PPB 2027 -- CAP locations determined to move forward (Sec footprints)
-- Proposals will be developed in 2027
-- More will go to 2028 -- could be XB too
- ICT consolidation: waiting for OICT to come up -- not expecting to PPB 2027
-- Implement pilot maybe
-- Not big approach like Revised Estimate
- Accounts payable: not in PPB 2027 
- Not following Revised Estimate
- No relocation planned</t>
    </r>
    <r>
      <rPr>
        <b/>
        <sz val="11"/>
        <color theme="1"/>
        <rFont val="Aptos Narrow"/>
        <family val="2"/>
        <scheme val="minor"/>
      </rPr>
      <t xml:space="preserve">
KJ:</t>
    </r>
    <r>
      <rPr>
        <sz val="11"/>
        <color theme="1"/>
        <rFont val="Aptos Narrow"/>
        <family val="2"/>
        <scheme val="minor"/>
      </rPr>
      <t xml:space="preserve">
- Storyline on how Sec and UN system relates: SG is very keen on pushing forward shared services across entities
- PPB 2027: DMSPC what to look out for, e.g., Joint Knowledge Hubs
- ICT consolidation awareness in Technology work packages
</t>
    </r>
    <r>
      <rPr>
        <b/>
        <sz val="11"/>
        <color theme="1"/>
        <rFont val="Aptos Narrow"/>
        <family val="2"/>
        <scheme val="minor"/>
      </rPr>
      <t xml:space="preserve">Karen:
</t>
    </r>
    <r>
      <rPr>
        <sz val="11"/>
        <color theme="1"/>
        <rFont val="Aptos Narrow"/>
        <family val="2"/>
        <scheme val="minor"/>
      </rPr>
      <t xml:space="preserve">- Not on 31 - USG and Controller stance: other work package items when clear we should sit down, should we flag this in budget or not, is there impact on programme planning, need to be specific, timeline is very short (February for programme, April for budget), we want to avoid diff budget negotiation
- Unified Services Roadmap: most appropriate way to bring this to MS (budget might not be the best place)
</t>
    </r>
    <r>
      <rPr>
        <b/>
        <sz val="11"/>
        <color theme="1"/>
        <rFont val="Aptos Narrow"/>
        <family val="2"/>
        <scheme val="minor"/>
      </rPr>
      <t xml:space="preserve">KJ: </t>
    </r>
    <r>
      <rPr>
        <sz val="11"/>
        <color theme="1"/>
        <rFont val="Aptos Narrow"/>
        <family val="2"/>
        <scheme val="minor"/>
      </rPr>
      <t xml:space="preserve">RC system funding - what resolution that shape it?
</t>
    </r>
    <r>
      <rPr>
        <b/>
        <sz val="11"/>
        <color theme="1"/>
        <rFont val="Aptos Narrow"/>
        <family val="2"/>
        <scheme val="minor"/>
      </rPr>
      <t>Karen:</t>
    </r>
    <r>
      <rPr>
        <sz val="11"/>
        <color theme="1"/>
        <rFont val="Aptos Narrow"/>
        <family val="2"/>
        <scheme val="minor"/>
      </rPr>
      <t xml:space="preserve">
- Finance shortfalls from regular budget -- report 2 years -- bring in December 2026
</t>
    </r>
    <r>
      <rPr>
        <b/>
        <sz val="11"/>
        <color theme="1"/>
        <rFont val="Aptos Narrow"/>
        <family val="2"/>
        <scheme val="minor"/>
      </rPr>
      <t>Patrick:</t>
    </r>
    <r>
      <rPr>
        <sz val="11"/>
        <color theme="1"/>
        <rFont val="Aptos Narrow"/>
        <family val="2"/>
        <scheme val="minor"/>
      </rPr>
      <t xml:space="preserve">
- Entity not touched: OICT
- Get out of 2 leases next year
- Own UNITAR building -- MS push to buy it but we shouldn't do that bcs the money will go back to MS
</t>
    </r>
    <r>
      <rPr>
        <b/>
        <sz val="11"/>
        <color theme="1"/>
        <rFont val="Aptos Narrow"/>
        <family val="2"/>
        <scheme val="minor"/>
      </rPr>
      <t>Wayne:</t>
    </r>
    <r>
      <rPr>
        <sz val="11"/>
        <color theme="1"/>
        <rFont val="Aptos Narrow"/>
        <family val="2"/>
        <scheme val="minor"/>
      </rPr>
      <t xml:space="preserve">
- Phase III large-scale global entities 
- Shared services: in Kuwait is closed, transfered to Entebbe. Consolidation all peace ops globally
- WP14:
-- Work undergoing in BIG -- map global shared services (Sec is interested and engaged -- level of tech details not sth we can provide in fragmented system)
-- Platform in country-level -- convo in RECs put in CBOs</t>
    </r>
  </si>
  <si>
    <r>
      <rPr>
        <b/>
        <sz val="11"/>
        <color theme="1"/>
        <rFont val="Aptos Narrow"/>
        <family val="2"/>
        <scheme val="minor"/>
      </rPr>
      <t xml:space="preserve">21 Jan:
</t>
    </r>
    <r>
      <rPr>
        <sz val="11"/>
        <color theme="1"/>
        <rFont val="Aptos Narrow"/>
        <family val="2"/>
        <scheme val="minor"/>
      </rPr>
      <t>- Same as above</t>
    </r>
  </si>
  <si>
    <r>
      <rPr>
        <b/>
        <sz val="11"/>
        <color theme="1"/>
        <rFont val="Aptos Narrow"/>
        <family val="2"/>
        <scheme val="minor"/>
      </rPr>
      <t xml:space="preserve">21 Jan:
</t>
    </r>
    <r>
      <rPr>
        <sz val="11"/>
        <color theme="1"/>
        <rFont val="Aptos Narrow"/>
        <family val="2"/>
        <scheme val="minor"/>
      </rPr>
      <t>- EC/DC Secretariat ran a first large survey on 200+ coordination mechanisms. Being analyzed.</t>
    </r>
  </si>
  <si>
    <r>
      <rPr>
        <b/>
        <sz val="11"/>
        <color theme="1"/>
        <rFont val="Aptos Narrow"/>
        <family val="2"/>
        <scheme val="minor"/>
      </rPr>
      <t xml:space="preserve">21 Jan:
</t>
    </r>
    <r>
      <rPr>
        <sz val="11"/>
        <color theme="1"/>
        <rFont val="Aptos Narrow"/>
        <family val="2"/>
        <scheme val="minor"/>
      </rPr>
      <t xml:space="preserve">- Note: With retirement of USG Mar Dieye, action is practically complete.
- Action is completed; the special coordinator retired by end of 2025
- The support team went back to UNDP; as these posts were secondments
</t>
    </r>
  </si>
  <si>
    <r>
      <rPr>
        <b/>
        <sz val="11"/>
        <color theme="1"/>
        <rFont val="Aptos Narrow"/>
        <family val="2"/>
        <scheme val="minor"/>
      </rPr>
      <t xml:space="preserve">21 Jan:
</t>
    </r>
    <r>
      <rPr>
        <sz val="11"/>
        <color theme="1"/>
        <rFont val="Aptos Narrow"/>
        <family val="2"/>
        <scheme val="minor"/>
      </rPr>
      <t xml:space="preserve">- Note: Context is also member state request to see changes on high-level posts in 2027.
- USG to provide updates
- First milestone is completed.
- The results are now for the SG's consideration -- likely no proposal is going to be put forward.
</t>
    </r>
  </si>
  <si>
    <r>
      <rPr>
        <b/>
        <sz val="11"/>
        <color theme="1"/>
        <rFont val="Aptos Narrow"/>
        <family val="2"/>
        <scheme val="minor"/>
      </rPr>
      <t xml:space="preserve">
</t>
    </r>
    <r>
      <rPr>
        <sz val="11"/>
        <color theme="1"/>
        <rFont val="Aptos Narrow"/>
        <family val="2"/>
        <scheme val="minor"/>
      </rPr>
      <t>- What does success look like?
- Given the timeline, would you be able to share any draft?
- What is new within this initiative?</t>
    </r>
  </si>
  <si>
    <r>
      <rPr>
        <b/>
        <sz val="11"/>
        <color theme="1"/>
        <rFont val="Aptos Narrow"/>
        <family val="2"/>
        <scheme val="minor"/>
      </rPr>
      <t xml:space="preserve">21 Jan:
</t>
    </r>
    <r>
      <rPr>
        <sz val="11"/>
        <color theme="1"/>
        <rFont val="Aptos Narrow"/>
        <family val="2"/>
        <scheme val="minor"/>
      </rPr>
      <t xml:space="preserve">- Note: We agreed with DGACM (Wannes) to make this work largely contingent on the UN80 resolution outcome, i.e. post-March 2026.
- USG to provide updates
- Showed the survey draft to the Co-Chairs yesterday (Tuesday)
- Add comments from Co-Chairs
</t>
    </r>
  </si>
  <si>
    <r>
      <rPr>
        <b/>
        <sz val="11"/>
        <color theme="1"/>
        <rFont val="Aptos Narrow"/>
        <family val="2"/>
        <scheme val="minor"/>
      </rPr>
      <t xml:space="preserve">21 Jan:
</t>
    </r>
    <r>
      <rPr>
        <sz val="11"/>
        <color theme="1"/>
        <rFont val="Aptos Narrow"/>
        <family val="2"/>
        <scheme val="minor"/>
      </rPr>
      <t xml:space="preserve">- Note: As above, this work will be largely contingent on the UN80 resolution.
- The minimal goal is to launch a website that provides information of different secretariats supporting mandating bodies across the UN system, their mandate registries, and other tools.
- As part of our work with the GA IAHWG on Mandate Implementation Review, we have started reaching out to different secretariats of principals UN organs. To gather have details of the services they provide to Member States. To be ready. 
</t>
    </r>
  </si>
  <si>
    <r>
      <rPr>
        <b/>
        <sz val="11"/>
        <color theme="1"/>
        <rFont val="Aptos Narrow"/>
        <family val="2"/>
        <scheme val="minor"/>
      </rPr>
      <t xml:space="preserve">21 Jan:
</t>
    </r>
    <r>
      <rPr>
        <sz val="11"/>
        <color theme="1"/>
        <rFont val="Aptos Narrow"/>
        <family val="2"/>
        <scheme val="minor"/>
      </rPr>
      <t xml:space="preserve">- Note: While there is still time, pending the UN80 resolution, the status of work here is still unclear. Christophe Monier’s team has a key role, and we understand there was a long plan to improve the PBI plan – unexecuted.
- USG to provide updates. Note that ultimate progress is contingent on the UN80 resolution, but we need to do prep work – including with Chandru’s and Movses’ team. Offer to link up.
</t>
    </r>
  </si>
  <si>
    <r>
      <rPr>
        <b/>
        <sz val="11"/>
        <color theme="1"/>
        <rFont val="Aptos Narrow"/>
        <family val="2"/>
        <scheme val="minor"/>
      </rPr>
      <t xml:space="preserve">21 Jan:
</t>
    </r>
    <r>
      <rPr>
        <sz val="11"/>
        <color theme="1"/>
        <rFont val="Aptos Narrow"/>
        <family val="2"/>
        <scheme val="minor"/>
      </rPr>
      <t xml:space="preserve">- Note: We now know that the download data for individual reports can be easily switched on for the Digital Library (DGC) and also DGACM system. We intend to instruct.
- If this is simple, let’s just move.
</t>
    </r>
  </si>
  <si>
    <r>
      <rPr>
        <b/>
        <sz val="11"/>
        <color theme="1"/>
        <rFont val="Aptos Narrow"/>
        <family val="2"/>
        <scheme val="minor"/>
      </rPr>
      <t xml:space="preserve">5 Feb:
</t>
    </r>
    <r>
      <rPr>
        <sz val="11"/>
        <color theme="1"/>
        <rFont val="Aptos Narrow"/>
        <family val="2"/>
        <scheme val="minor"/>
      </rPr>
      <t>- Notes: This action is about ‘harmonizing the support cost rates on XB (7-13%)’. BIG had misunderstood the task. We met at ASG level to clarify. Suggested way forward is to make this a BIG+HLCM task, and to limit initial scope to ‘bring transparency to the ‘cost of support’, i.e. clear mapping of costs per service transaction – not only at country level.
- Cost harmonization is a sensitive topic, yet the action is what the action is. We don’t intend to change the action.
- In a first step, bringing transparency to support costs is a milestone towards that goal. However, the transparency cannot focus on ‘country-level’.
- Global-level mapping is also required and should be part of the overall Unified Services Roadmap outline.
- Suggest that HLCM and BIG work together on this.</t>
    </r>
    <r>
      <rPr>
        <b/>
        <sz val="11"/>
        <color theme="1"/>
        <rFont val="Aptos Narrow"/>
        <family val="2"/>
        <scheme val="minor"/>
      </rPr>
      <t xml:space="preserve">
7 Jan:
</t>
    </r>
    <r>
      <rPr>
        <sz val="11"/>
        <color theme="1"/>
        <rFont val="Aptos Narrow"/>
        <family val="2"/>
        <scheme val="minor"/>
      </rPr>
      <t xml:space="preserve">- How does your milestone relate to indicative action? Just to recall: The simple goal, outlined in the UN80 Report, is to harmonize the programme and indirect support rates for voluntary contributions across the UN System. Currently, they typically range between 7% to 13%. How does your milestone help us get there? We need to be on target. </t>
    </r>
  </si>
  <si>
    <t>Notes on Initial Milestone</t>
  </si>
  <si>
    <r>
      <rPr>
        <b/>
        <sz val="11"/>
        <color theme="1"/>
        <rFont val="Aptos Narrow"/>
        <family val="2"/>
        <scheme val="minor"/>
      </rPr>
      <t xml:space="preserve">21 Jan:
</t>
    </r>
    <r>
      <rPr>
        <sz val="11"/>
        <color theme="1"/>
        <rFont val="Aptos Narrow"/>
        <family val="2"/>
        <scheme val="minor"/>
      </rPr>
      <t>- Are you clear on the scope? Recall that the SG’s intent is that the mandate stays with the mission, which then delegates resources to entities</t>
    </r>
  </si>
  <si>
    <r>
      <t xml:space="preserve">21 Jan:
</t>
    </r>
    <r>
      <rPr>
        <sz val="11"/>
        <color theme="1"/>
        <rFont val="Aptos Narrow"/>
        <family val="2"/>
        <scheme val="minor"/>
      </rPr>
      <t>- Note: This will not be easy due to a) internal resistance at Director-level, b) uncertainty if existing missions are affected or only future ones, c) hair-splitting on how ‘child protection’ done by missions is different from UNICEF.</t>
    </r>
  </si>
  <si>
    <r>
      <rPr>
        <b/>
        <sz val="11"/>
        <color theme="1"/>
        <rFont val="Aptos Narrow"/>
        <family val="2"/>
        <scheme val="minor"/>
      </rPr>
      <t xml:space="preserve">21 Jan:
</t>
    </r>
    <r>
      <rPr>
        <sz val="11"/>
        <color theme="1"/>
        <rFont val="Aptos Narrow"/>
        <family val="2"/>
        <scheme val="minor"/>
      </rPr>
      <t xml:space="preserve">- What is the timeline for the peace operations review?
- To what body will the report be submitted so it can translate to action?
</t>
    </r>
  </si>
  <si>
    <r>
      <t xml:space="preserve">21 Jan:
</t>
    </r>
    <r>
      <rPr>
        <sz val="11"/>
        <color theme="1"/>
        <rFont val="Aptos Narrow"/>
        <family val="2"/>
        <scheme val="minor"/>
      </rPr>
      <t>- Note: Information on timelines remains conflicting (refer note to SG different from USG bilateral) and ambition limited. In general, any meaningful changes in SPM and PKM budgets have now ‘missed the budget deadline’.</t>
    </r>
  </si>
  <si>
    <r>
      <rPr>
        <b/>
        <sz val="11"/>
        <color theme="1"/>
        <rFont val="Aptos Narrow"/>
        <family val="2"/>
        <scheme val="minor"/>
      </rPr>
      <t xml:space="preserve">21 Jan:
</t>
    </r>
    <r>
      <rPr>
        <sz val="11"/>
        <color theme="1"/>
        <rFont val="Aptos Narrow"/>
        <family val="2"/>
        <scheme val="minor"/>
      </rPr>
      <t xml:space="preserve">- What work is going on to drive another push on simplification and digital transformation for 2027, given that the 2026 Humanitarian Response Plans (HNRPs) are done?
</t>
    </r>
  </si>
  <si>
    <r>
      <t xml:space="preserve">21 Jan:
</t>
    </r>
    <r>
      <rPr>
        <sz val="11"/>
        <color theme="1"/>
        <rFont val="Aptos Narrow"/>
        <family val="2"/>
        <scheme val="minor"/>
      </rPr>
      <t>- Note: After progress in cutting the plans from 200 to 80 pages each for 2026, OCHA seem unresolved on how to push further. Digital plans unclear.</t>
    </r>
  </si>
  <si>
    <r>
      <rPr>
        <b/>
        <sz val="11"/>
        <color theme="1"/>
        <rFont val="Aptos Narrow"/>
        <family val="2"/>
        <scheme val="minor"/>
      </rPr>
      <t xml:space="preserve">5 Feb:
</t>
    </r>
    <r>
      <rPr>
        <sz val="11"/>
        <color theme="1"/>
        <rFont val="Aptos Narrow"/>
        <family val="2"/>
        <scheme val="minor"/>
      </rPr>
      <t>- For starter country (list) Country teams are briefed, identifying logistics opportunities; HQ teams dispatched for implementation roadmaps in target countries. 
- What is the status of the inter-agency supply design that you were expecting to be endorsed by 31 Jan?
- Beyond UNICEF, WFP, DOS, what other entities are expected to endorse the design – how can we / SG help? 
- At global level, what are next steps for integrating supply chain functions, because that is the key unlock to progress?
- When can we bring the topic of endorsement to the Steering Committee, before the CEB?</t>
    </r>
    <r>
      <rPr>
        <b/>
        <sz val="11"/>
        <color theme="1"/>
        <rFont val="Aptos Narrow"/>
        <family val="2"/>
        <scheme val="minor"/>
      </rPr>
      <t xml:space="preserve">
7 Jan:</t>
    </r>
    <r>
      <rPr>
        <sz val="11"/>
        <color theme="1"/>
        <rFont val="Aptos Narrow"/>
        <family val="2"/>
        <scheme val="minor"/>
      </rPr>
      <t xml:space="preserve">
- How are these arrangements embedded in the larger Unified Services Roadmap driven by HLCM and BIG? No parallel arrangements, or one-off pilots.
------
- Related: How do we make sure that these are not one-off country pilots?
- How can SG help push for sustainable institutional arrangements?</t>
    </r>
  </si>
  <si>
    <r>
      <t xml:space="preserve">5 Feb:
</t>
    </r>
    <r>
      <rPr>
        <sz val="11"/>
        <color theme="1"/>
        <rFont val="Aptos Narrow"/>
        <family val="2"/>
        <scheme val="minor"/>
      </rPr>
      <t xml:space="preserve">- Note: WFP and UNICEF are key. DOS may slow things down. Still unclear what Cindy McCain’s complaint was (Carl may know). Positive: Hansjoerg was part of a D-2 / ASG-level workshop in Copenhagen last weekend (we have readout). A key unlock is to push for global-level consolidation of procurement, global transport, and in-country delivery responsibilities. </t>
    </r>
  </si>
  <si>
    <r>
      <rPr>
        <b/>
        <sz val="11"/>
        <color theme="1"/>
        <rFont val="Aptos Narrow"/>
        <family val="2"/>
        <scheme val="minor"/>
      </rPr>
      <t xml:space="preserve">5 Feb:
Kelly:
</t>
    </r>
    <r>
      <rPr>
        <sz val="11"/>
        <color theme="1"/>
        <rFont val="Aptos Narrow"/>
        <family val="2"/>
        <scheme val="minor"/>
      </rPr>
      <t>- Service catalogues -- where services available -- using UN Booking Hub
- Linked to Unified Services Roadmap
- WFP, UNHCR -- catalogue live (Phase I), fleet resourcing, travel engineering, asset disposal
- Looking at SLAs
- Use this as enabling -- to expand to Phase II (Jan - Mar; expand partner and solutions, onboarding UN service providers, BIG shared services, practical guide for usage) -- ride-sharing, renewable energy
- Phase III (Mar - Sep) consolidation option with biz case -- linked to overall Unified Service Delivery</t>
    </r>
    <r>
      <rPr>
        <b/>
        <sz val="11"/>
        <color theme="1"/>
        <rFont val="Aptos Narrow"/>
        <family val="2"/>
        <scheme val="minor"/>
      </rPr>
      <t xml:space="preserve">
- Need senior management support</t>
    </r>
  </si>
  <si>
    <r>
      <rPr>
        <b/>
        <sz val="11"/>
        <color theme="1"/>
        <rFont val="Aptos Narrow"/>
        <family val="2"/>
        <scheme val="minor"/>
      </rPr>
      <t xml:space="preserve">5 Feb:
Kelly:
</t>
    </r>
    <r>
      <rPr>
        <sz val="11"/>
        <color theme="1"/>
        <rFont val="Aptos Narrow"/>
        <family val="2"/>
        <scheme val="minor"/>
      </rPr>
      <t>- 6 lines of effort
- Far-reaching efficiency initiatives - align with BIG, CBOs
- Have consolidated management dashboard -- milestones across initiatives
- Political challenge, build trust - need simple system-wide framework (global vs local-dependent)
- If global not mirrored local -- agencies opt out
- CBOs deal with segment of processees but not E2E -- agencies forced to retain capacities
- Nairobi for example can get uptake bcs it's mature
- One-market vision -- shared data
- Consolidate supply network in HLCM in governance and policy</t>
    </r>
    <r>
      <rPr>
        <b/>
        <sz val="11"/>
        <color theme="1"/>
        <rFont val="Aptos Narrow"/>
        <family val="2"/>
        <scheme val="minor"/>
      </rPr>
      <t xml:space="preserve">
7 Jan</t>
    </r>
    <r>
      <rPr>
        <sz val="11"/>
        <color theme="1"/>
        <rFont val="Aptos Narrow"/>
        <family val="2"/>
        <scheme val="minor"/>
      </rPr>
      <t xml:space="preserve">:
- </t>
    </r>
    <r>
      <rPr>
        <b/>
        <sz val="11"/>
        <color theme="1"/>
        <rFont val="Aptos Narrow"/>
        <family val="2"/>
        <scheme val="minor"/>
      </rPr>
      <t>Andrew</t>
    </r>
    <r>
      <rPr>
        <sz val="11"/>
        <color theme="1"/>
        <rFont val="Aptos Narrow"/>
        <family val="2"/>
        <scheme val="minor"/>
      </rPr>
      <t>:
-- Focus unified roadmap translates into implementation
-- ERP as service, UN Services Hub, streamlining non-staff contract, centralized payroll
-- With global shared services by BIG
-- Should be ready by end of Jan
-- Training programme packages finalized, for HCO shceduled for Feb-May
-- High impact starter, draft methodology prepared, validating in upcoming Task Team meeting next week
-- Operationalization for mission: expanded membership and governance finalized in the coming weeks</t>
    </r>
  </si>
  <si>
    <r>
      <rPr>
        <b/>
        <sz val="11"/>
        <color theme="1"/>
        <rFont val="Aptos Narrow"/>
        <family val="2"/>
        <scheme val="minor"/>
      </rPr>
      <t xml:space="preserve">5 Feb:
Andrew:
</t>
    </r>
    <r>
      <rPr>
        <sz val="11"/>
        <color theme="1"/>
        <rFont val="Aptos Narrow"/>
        <family val="2"/>
        <scheme val="minor"/>
      </rPr>
      <t xml:space="preserve">- 30-35 global shared service centres -- many reluctance to share data from the start -- 4-wk delay on feasibility study
- 12/15 systems only -- why data is difficult
- </t>
    </r>
    <r>
      <rPr>
        <b/>
        <sz val="11"/>
        <color theme="1"/>
        <rFont val="Aptos Narrow"/>
        <family val="2"/>
        <scheme val="minor"/>
      </rPr>
      <t xml:space="preserve">
7 Jan:</t>
    </r>
    <r>
      <rPr>
        <sz val="11"/>
        <color theme="1"/>
        <rFont val="Aptos Narrow"/>
        <family val="2"/>
        <scheme val="minor"/>
      </rPr>
      <t xml:space="preserve">
- </t>
    </r>
    <r>
      <rPr>
        <b/>
        <sz val="11"/>
        <color theme="1"/>
        <rFont val="Aptos Narrow"/>
        <family val="2"/>
        <scheme val="minor"/>
      </rPr>
      <t>Andrew</t>
    </r>
    <r>
      <rPr>
        <sz val="11"/>
        <color theme="1"/>
        <rFont val="Aptos Narrow"/>
        <family val="2"/>
        <scheme val="minor"/>
      </rPr>
      <t xml:space="preserve">:
-- Reporting methodology being finalized
-- Tool communications ready by end of Jan
-- So reporting will be standardized system-wide
-- SG push needs: will have meeting with DSG; CBO stricter not allowing orgs to opt out -- in certain countries biz cases alrd prepared and in last min 1-2 agencies bailed. Need principal engagement
- </t>
    </r>
    <r>
      <rPr>
        <b/>
        <sz val="11"/>
        <color theme="1"/>
        <rFont val="Aptos Narrow"/>
        <family val="2"/>
        <scheme val="minor"/>
      </rPr>
      <t>Guy</t>
    </r>
    <r>
      <rPr>
        <sz val="11"/>
        <color theme="1"/>
        <rFont val="Aptos Narrow"/>
        <family val="2"/>
        <scheme val="minor"/>
      </rPr>
      <t>: trouble making connections bcs the report is trying to harmonize prog support. Can we take a look how the milestones connect? -- leave it for offline</t>
    </r>
  </si>
  <si>
    <r>
      <rPr>
        <b/>
        <sz val="11"/>
        <color theme="1"/>
        <rFont val="Aptos Narrow"/>
        <family val="2"/>
        <scheme val="minor"/>
      </rPr>
      <t>7 Jan:</t>
    </r>
    <r>
      <rPr>
        <sz val="11"/>
        <color theme="1"/>
        <rFont val="Aptos Narrow"/>
        <family val="2"/>
        <scheme val="minor"/>
      </rPr>
      <t xml:space="preserve">
</t>
    </r>
    <r>
      <rPr>
        <b/>
        <sz val="11"/>
        <color theme="1"/>
        <rFont val="Aptos Narrow"/>
        <family val="2"/>
        <scheme val="minor"/>
      </rPr>
      <t>Catherine</t>
    </r>
    <r>
      <rPr>
        <sz val="11"/>
        <color theme="1"/>
        <rFont val="Aptos Narrow"/>
        <family val="2"/>
        <scheme val="minor"/>
      </rPr>
      <t>:
-- Analytical backbone, ICT services, ayroll, ERP
-- Quarterly dashboard across initiative - assess qual progress against grid indicators
-- HLCM Sec maintain this dashboard with BIG Sec
-- Dashboard open-data -- ready by end of January
-- This action to reduce duplication</t>
    </r>
  </si>
  <si>
    <r>
      <rPr>
        <b/>
        <sz val="11"/>
        <color theme="1"/>
        <rFont val="Aptos Narrow"/>
        <family val="2"/>
        <scheme val="minor"/>
      </rPr>
      <t xml:space="preserve">5 Feb:
Khuloud:
</t>
    </r>
    <r>
      <rPr>
        <sz val="11"/>
        <color theme="1"/>
        <rFont val="Aptos Narrow"/>
        <family val="2"/>
        <scheme val="minor"/>
      </rPr>
      <t xml:space="preserve">- Survey launched -- responses extended to mid Feb
- ICT staffing, contract, existing shared services
- Consultation with DTN, HLCM then submitted to CEB in May 
</t>
    </r>
    <r>
      <rPr>
        <b/>
        <sz val="11"/>
        <color theme="1"/>
        <rFont val="Aptos Narrow"/>
        <family val="2"/>
        <scheme val="minor"/>
      </rPr>
      <t xml:space="preserve">
12 Jan - UNSDG meeting:
Doreen:
</t>
    </r>
    <r>
      <rPr>
        <sz val="11"/>
        <color theme="1"/>
        <rFont val="Aptos Narrow"/>
        <family val="2"/>
        <scheme val="minor"/>
      </rPr>
      <t>- Closely linked to WP14
- Provided updates similar to TF 7 Jan</t>
    </r>
    <r>
      <rPr>
        <b/>
        <sz val="11"/>
        <color theme="1"/>
        <rFont val="Aptos Narrow"/>
        <family val="2"/>
        <scheme val="minor"/>
      </rPr>
      <t xml:space="preserve">
7 Jan:</t>
    </r>
    <r>
      <rPr>
        <sz val="11"/>
        <color theme="1"/>
        <rFont val="Aptos Narrow"/>
        <family val="2"/>
        <scheme val="minor"/>
      </rPr>
      <t xml:space="preserve">
- </t>
    </r>
    <r>
      <rPr>
        <b/>
        <sz val="11"/>
        <color theme="1"/>
        <rFont val="Aptos Narrow"/>
        <family val="2"/>
        <scheme val="minor"/>
      </rPr>
      <t>Doreen</t>
    </r>
    <r>
      <rPr>
        <sz val="11"/>
        <color theme="1"/>
        <rFont val="Aptos Narrow"/>
        <family val="2"/>
        <scheme val="minor"/>
      </rPr>
      <t>: 
-- Link to WP14
-- Kick-off meeting done: clear milestone and timeframe, working cadence (weekly action-level meeting)
-- Final proposal by CEB -- lessons from ICC, proven other service model across UN
-- Mid-Feb -- system-wide ICT baseline, contract, spending, suppliers, people
-- Review UNICC endorsed by HLCM -- focus strengthening governance</t>
    </r>
  </si>
  <si>
    <r>
      <rPr>
        <b/>
        <sz val="11"/>
        <color theme="1"/>
        <rFont val="Aptos Narrow"/>
        <family val="2"/>
        <scheme val="minor"/>
      </rPr>
      <t xml:space="preserve">5 Feb:
Khuloud:
</t>
    </r>
    <r>
      <rPr>
        <sz val="11"/>
        <color theme="1"/>
        <rFont val="Aptos Narrow"/>
        <family val="2"/>
        <scheme val="minor"/>
      </rPr>
      <t>- Interoperability solution, analytics and AI, platform (data commons) / enablers
- Obvious use cases based on readiness, system-wide impact: beneficiary digital ID (UNHCR), translation (ITU), GIS crisis (FAO)
- Early scoping underway -- initial portfolio of use cases within 2026
- Main next step: ICT baseline, TAP mechanism to unclock through concrete delivery
- After TAP sust financing model</t>
    </r>
    <r>
      <rPr>
        <b/>
        <sz val="11"/>
        <color theme="1"/>
        <rFont val="Aptos Narrow"/>
        <family val="2"/>
        <scheme val="minor"/>
      </rPr>
      <t xml:space="preserve">
12 Jan - UNSDG meeting:
Doreen:
</t>
    </r>
    <r>
      <rPr>
        <sz val="11"/>
        <color theme="1"/>
        <rFont val="Aptos Narrow"/>
        <family val="2"/>
        <scheme val="minor"/>
      </rPr>
      <t xml:space="preserve">- Provided updates similar to TF 7 Jan
- Built on UN 2.0
- By CEB to have 3 use cases; by EOY 6 use cases
- Need commitment from Principals
</t>
    </r>
    <r>
      <rPr>
        <b/>
        <sz val="11"/>
        <color theme="1"/>
        <rFont val="Aptos Narrow"/>
        <family val="2"/>
        <scheme val="minor"/>
      </rPr>
      <t>7 Jan:</t>
    </r>
    <r>
      <rPr>
        <sz val="11"/>
        <color theme="1"/>
        <rFont val="Aptos Narrow"/>
        <family val="2"/>
        <scheme val="minor"/>
      </rPr>
      <t xml:space="preserve">
</t>
    </r>
    <r>
      <rPr>
        <b/>
        <sz val="11"/>
        <color theme="1"/>
        <rFont val="Aptos Narrow"/>
        <family val="2"/>
        <scheme val="minor"/>
      </rPr>
      <t xml:space="preserve">- Doreen: </t>
    </r>
    <r>
      <rPr>
        <sz val="11"/>
        <color theme="1"/>
        <rFont val="Aptos Narrow"/>
        <family val="2"/>
        <scheme val="minor"/>
      </rPr>
      <t xml:space="preserve">
-- Link to WP14
-- Kick-off meeting done: clear milestone and timeframe, working cadence (weekly action-level meeting)
-- Final proposal by CEB -- lessons from ICC, proven other service model across UN
-- Mid-Feb -- system-wide ICT basel
- </t>
    </r>
    <r>
      <rPr>
        <b/>
        <sz val="11"/>
        <color theme="1"/>
        <rFont val="Aptos Narrow"/>
        <family val="2"/>
        <scheme val="minor"/>
      </rPr>
      <t>Bernardo</t>
    </r>
    <r>
      <rPr>
        <sz val="11"/>
        <color theme="1"/>
        <rFont val="Aptos Narrow"/>
        <family val="2"/>
        <scheme val="minor"/>
      </rPr>
      <t xml:space="preserve">:
-- GA resolution: adoption to have digital hub in Valencia (750 personnel from 3 agencies, ICC, IOM, UNICEF)
-- Leverage on ICT contract with vendors
- </t>
    </r>
    <r>
      <rPr>
        <b/>
        <sz val="11"/>
        <color theme="1"/>
        <rFont val="Aptos Narrow"/>
        <family val="2"/>
        <scheme val="minor"/>
      </rPr>
      <t>Guy</t>
    </r>
    <r>
      <rPr>
        <sz val="11"/>
        <color theme="1"/>
        <rFont val="Aptos Narrow"/>
        <family val="2"/>
        <scheme val="minor"/>
      </rPr>
      <t xml:space="preserve">: Are people mapped here?
</t>
    </r>
    <r>
      <rPr>
        <b/>
        <sz val="11"/>
        <color theme="1"/>
        <rFont val="Aptos Narrow"/>
        <family val="2"/>
        <scheme val="minor"/>
      </rPr>
      <t>- Bernardo:</t>
    </r>
    <r>
      <rPr>
        <sz val="11"/>
        <color theme="1"/>
        <rFont val="Aptos Narrow"/>
        <family val="2"/>
        <scheme val="minor"/>
      </rPr>
      <t xml:space="preserve">
-- On contract, survey sent (number vendors across system)
-- Next survey on personnel -- will go out this month -- next meeting will have response to that
-- Interest groups on ERP, AI
</t>
    </r>
    <r>
      <rPr>
        <b/>
        <sz val="11"/>
        <color theme="1"/>
        <rFont val="Aptos Narrow"/>
        <family val="2"/>
        <scheme val="minor"/>
      </rPr>
      <t>- Movses:</t>
    </r>
    <r>
      <rPr>
        <sz val="11"/>
        <color theme="1"/>
        <rFont val="Aptos Narrow"/>
        <family val="2"/>
        <scheme val="minor"/>
      </rPr>
      <t xml:space="preserve"> relocation, consolidation -- proposal need to be in budget in March? Or revised? Or 2028?
</t>
    </r>
    <r>
      <rPr>
        <b/>
        <sz val="11"/>
        <color theme="1"/>
        <rFont val="Aptos Narrow"/>
        <family val="2"/>
        <scheme val="minor"/>
      </rPr>
      <t xml:space="preserve">- Catherine: </t>
    </r>
    <r>
      <rPr>
        <sz val="11"/>
        <color theme="1"/>
        <rFont val="Aptos Narrow"/>
        <family val="2"/>
        <scheme val="minor"/>
      </rPr>
      <t>for 2027 reg budget have to be ready by end of Jan -- suggest not to have revised estimate this year</t>
    </r>
  </si>
  <si>
    <r>
      <rPr>
        <b/>
        <sz val="11"/>
        <color theme="1"/>
        <rFont val="Aptos Narrow"/>
        <family val="2"/>
        <scheme val="minor"/>
      </rPr>
      <t xml:space="preserve">5 Feb:
Oscar:
</t>
    </r>
    <r>
      <rPr>
        <sz val="11"/>
        <color theme="1"/>
        <rFont val="Aptos Narrow"/>
        <family val="2"/>
        <scheme val="minor"/>
      </rPr>
      <t>- Have core funding case</t>
    </r>
    <r>
      <rPr>
        <b/>
        <sz val="11"/>
        <color theme="1"/>
        <rFont val="Aptos Narrow"/>
        <family val="2"/>
        <scheme val="minor"/>
      </rPr>
      <t xml:space="preserve">
12 Jan - UNSDG meeting:
Jens:
</t>
    </r>
    <r>
      <rPr>
        <sz val="11"/>
        <color theme="1"/>
        <rFont val="Aptos Narrow"/>
        <family val="2"/>
        <scheme val="minor"/>
      </rPr>
      <t>- Describe what core is (descriptive phase)</t>
    </r>
  </si>
  <si>
    <r>
      <rPr>
        <b/>
        <sz val="11"/>
        <color theme="1"/>
        <rFont val="Aptos Narrow"/>
        <family val="2"/>
        <scheme val="minor"/>
      </rPr>
      <t>5 Feb:
Oscar:</t>
    </r>
    <r>
      <rPr>
        <sz val="11"/>
        <color theme="1"/>
        <rFont val="Aptos Narrow"/>
        <family val="2"/>
        <scheme val="minor"/>
      </rPr>
      <t xml:space="preserve">
- Whether funding compact working or not</t>
    </r>
    <r>
      <rPr>
        <b/>
        <sz val="11"/>
        <color theme="1"/>
        <rFont val="Aptos Narrow"/>
        <family val="2"/>
        <scheme val="minor"/>
      </rPr>
      <t xml:space="preserve">
12 Jan - UNSDG meeting:
Jens:
</t>
    </r>
    <r>
      <rPr>
        <sz val="11"/>
        <color theme="1"/>
        <rFont val="Aptos Narrow"/>
        <family val="2"/>
        <scheme val="minor"/>
      </rPr>
      <t>- Mostly descriptive - not too fast to go into reccomendations yet</t>
    </r>
  </si>
  <si>
    <r>
      <rPr>
        <b/>
        <sz val="11"/>
        <color theme="1"/>
        <rFont val="Aptos Narrow"/>
        <family val="2"/>
        <scheme val="minor"/>
      </rPr>
      <t xml:space="preserve">
7 Jan:</t>
    </r>
    <r>
      <rPr>
        <sz val="11"/>
        <color theme="1"/>
        <rFont val="Aptos Narrow"/>
        <family val="2"/>
        <scheme val="minor"/>
      </rPr>
      <t xml:space="preserve">
- </t>
    </r>
    <r>
      <rPr>
        <b/>
        <sz val="11"/>
        <color theme="1"/>
        <rFont val="Aptos Narrow"/>
        <family val="2"/>
        <scheme val="minor"/>
      </rPr>
      <t>Jens</t>
    </r>
    <r>
      <rPr>
        <sz val="11"/>
        <color theme="1"/>
        <rFont val="Aptos Narrow"/>
        <family val="2"/>
        <scheme val="minor"/>
      </rPr>
      <t>:
-- Portfolio view of pooled funding -- could we do something to rationalize this
-- Leave the core</t>
    </r>
  </si>
  <si>
    <r>
      <rPr>
        <b/>
        <sz val="11"/>
        <color theme="1"/>
        <rFont val="Aptos Narrow"/>
        <family val="2"/>
        <scheme val="minor"/>
      </rPr>
      <t xml:space="preserve">5 Feb: </t>
    </r>
    <r>
      <rPr>
        <sz val="11"/>
        <color theme="1"/>
        <rFont val="Aptos Narrow"/>
        <family val="2"/>
        <scheme val="minor"/>
      </rPr>
      <t xml:space="preserve">no question - rushed run out of time for this WP
</t>
    </r>
    <r>
      <rPr>
        <b/>
        <sz val="11"/>
        <color theme="1"/>
        <rFont val="Aptos Narrow"/>
        <family val="2"/>
        <scheme val="minor"/>
      </rPr>
      <t xml:space="preserve">Oscar:
</t>
    </r>
    <r>
      <rPr>
        <sz val="11"/>
        <color theme="1"/>
        <rFont val="Aptos Narrow"/>
        <family val="2"/>
        <scheme val="minor"/>
      </rPr>
      <t xml:space="preserve">- Defining core funding: assessed and unearmarked voluntary
- Describe issue at this issue -- not to prescribe -- alrd uploaded
- Shared practical baseline, sruvey system-level issue-- inform later PS options
- Phase II to find solutions -- 3 consultation drafts -- how funding shape system design
</t>
    </r>
    <r>
      <rPr>
        <b/>
        <sz val="11"/>
        <color theme="1"/>
        <rFont val="Aptos Narrow"/>
        <family val="2"/>
        <scheme val="minor"/>
      </rPr>
      <t xml:space="preserve">
12 Jan - UNSDG meeting:
Jens:
</t>
    </r>
    <r>
      <rPr>
        <sz val="11"/>
        <color theme="1"/>
        <rFont val="Aptos Narrow"/>
        <family val="2"/>
        <scheme val="minor"/>
      </rPr>
      <t>- For example US $2bn for humanitarian - OCHA and MPTFO as managers</t>
    </r>
    <r>
      <rPr>
        <b/>
        <sz val="11"/>
        <color theme="1"/>
        <rFont val="Aptos Narrow"/>
        <family val="2"/>
        <scheme val="minor"/>
      </rPr>
      <t xml:space="preserve">
7 Jan:</t>
    </r>
    <r>
      <rPr>
        <sz val="11"/>
        <color theme="1"/>
        <rFont val="Aptos Narrow"/>
        <family val="2"/>
        <scheme val="minor"/>
      </rPr>
      <t xml:space="preserve">
- </t>
    </r>
    <r>
      <rPr>
        <b/>
        <sz val="11"/>
        <color theme="1"/>
        <rFont val="Aptos Narrow"/>
        <family val="2"/>
        <scheme val="minor"/>
      </rPr>
      <t>Jens</t>
    </r>
    <r>
      <rPr>
        <sz val="11"/>
        <color theme="1"/>
        <rFont val="Aptos Narrow"/>
        <family val="2"/>
        <scheme val="minor"/>
      </rPr>
      <t xml:space="preserve">:
-- Biz model for poolef funds
-- end of Jan-- descriptive universe, reference model for fragmented model
-- issues of pooled financing, core
- </t>
    </r>
    <r>
      <rPr>
        <b/>
        <sz val="11"/>
        <color theme="1"/>
        <rFont val="Aptos Narrow"/>
        <family val="2"/>
        <scheme val="minor"/>
      </rPr>
      <t>Guy</t>
    </r>
    <r>
      <rPr>
        <sz val="11"/>
        <color theme="1"/>
        <rFont val="Aptos Narrow"/>
        <family val="2"/>
        <scheme val="minor"/>
      </rPr>
      <t xml:space="preserve">:
-- object is not to just map out but also to make case for pooled funding modalities
-- is WP moving to meet the objective to make pooled funding attractive option?
- </t>
    </r>
    <r>
      <rPr>
        <b/>
        <sz val="11"/>
        <color theme="1"/>
        <rFont val="Aptos Narrow"/>
        <family val="2"/>
        <scheme val="minor"/>
      </rPr>
      <t>Jens</t>
    </r>
    <r>
      <rPr>
        <sz val="11"/>
        <color theme="1"/>
        <rFont val="Aptos Narrow"/>
        <family val="2"/>
        <scheme val="minor"/>
      </rPr>
      <t>:
-- Chance to understand poolef financing instrument -- 1st time looking across in all pillars
-- Case for core: losing battle (reasons for donors leaving core consistent); we may need to have diff responses for diff donors</t>
    </r>
  </si>
  <si>
    <r>
      <rPr>
        <b/>
        <sz val="11"/>
        <color rgb="FF000000"/>
        <rFont val="Aptos Narrow"/>
        <family val="2"/>
        <scheme val="minor"/>
      </rPr>
      <t xml:space="preserve">5 Feb:
Hansjoerg
</t>
    </r>
    <r>
      <rPr>
        <sz val="11"/>
        <color rgb="FF000000"/>
        <rFont val="Aptos Narrow"/>
        <family val="2"/>
        <scheme val="minor"/>
      </rPr>
      <t xml:space="preserve">- Copenhagen meeting: 3 key areas in 5 starter
-- Rationalizing global procurement responsibilities for core relief items (items: tents, vaccine, food, other nutritional/medical - have primary 2ndary vendors) - will req Principal discussion SG/USG - </t>
    </r>
    <r>
      <rPr>
        <b/>
        <sz val="11"/>
        <color rgb="FF000000"/>
        <rFont val="Aptos Narrow"/>
        <family val="2"/>
        <scheme val="minor"/>
      </rPr>
      <t>decision making needed</t>
    </r>
    <r>
      <rPr>
        <sz val="11"/>
        <color rgb="FF000000"/>
        <rFont val="Aptos Narrow"/>
        <family val="2"/>
        <scheme val="minor"/>
      </rPr>
      <t xml:space="preserve">
-- Align agencies comp adv (market engagement, route, transport modes)
-- Integrating in-country delivery (proposal next week in Gaza -- then move to Sudan, Afghanistan, Somalia. By March, have ideas on what areas - joint warehousing etc - to be working together, not in $ count but biz case)</t>
    </r>
    <r>
      <rPr>
        <b/>
        <sz val="11"/>
        <color rgb="FF000000"/>
        <rFont val="Aptos Narrow"/>
        <family val="2"/>
        <scheme val="minor"/>
      </rPr>
      <t xml:space="preserve">
Elinor:
- Can we deal name of this? Joint common services? Before going to MS -- UN vs. UN system</t>
    </r>
    <r>
      <rPr>
        <sz val="11"/>
        <color rgb="FF000000"/>
        <rFont val="Aptos Narrow"/>
        <family val="2"/>
        <scheme val="minor"/>
      </rPr>
      <t xml:space="preserve">
</t>
    </r>
    <r>
      <rPr>
        <b/>
        <sz val="11"/>
        <color rgb="FF000000"/>
        <rFont val="Aptos Narrow"/>
        <family val="2"/>
        <scheme val="minor"/>
      </rPr>
      <t xml:space="preserve">Guy:
</t>
    </r>
    <r>
      <rPr>
        <sz val="11"/>
        <color rgb="FF000000"/>
        <rFont val="Aptos Narrow"/>
        <family val="2"/>
        <scheme val="minor"/>
      </rPr>
      <t xml:space="preserve">- Endorsement happened or not?
</t>
    </r>
    <r>
      <rPr>
        <b/>
        <sz val="11"/>
        <color rgb="FF000000"/>
        <rFont val="Aptos Narrow"/>
        <family val="2"/>
        <scheme val="minor"/>
      </rPr>
      <t xml:space="preserve">Hansjoerg:
</t>
    </r>
    <r>
      <rPr>
        <sz val="11"/>
        <color rgb="FF000000"/>
        <rFont val="Aptos Narrow"/>
        <family val="2"/>
        <scheme val="minor"/>
      </rPr>
      <t>- 2 issues upstream not endorsement
- Endorsement done for country-level design -- 5 starter in 3rd item -- have discussions on support strx (DOS, WFP, UNICEF Quint) -- will build concrete agreement on who want to join (e.g., WHO, FPA -- interagency agreement) -- country team support
- Gaza: WFP, FPA, IOM alrd ok
- Design to generate commonalities</t>
    </r>
    <r>
      <rPr>
        <b/>
        <sz val="11"/>
        <color rgb="FF000000"/>
        <rFont val="Aptos Narrow"/>
        <family val="2"/>
        <scheme val="minor"/>
      </rPr>
      <t xml:space="preserve">
Guy:
</t>
    </r>
    <r>
      <rPr>
        <sz val="11"/>
        <color rgb="FF000000"/>
        <rFont val="Aptos Narrow"/>
        <family val="2"/>
        <scheme val="minor"/>
      </rPr>
      <t xml:space="preserve">- SG ready to convene and have convos
</t>
    </r>
    <r>
      <rPr>
        <b/>
        <sz val="11"/>
        <color rgb="FF000000"/>
        <rFont val="Aptos Narrow"/>
        <family val="2"/>
        <scheme val="minor"/>
      </rPr>
      <t xml:space="preserve">Hansjoerg:
- Next week meet Hansjoerg and UNICEF person
7 Jan:
</t>
    </r>
    <r>
      <rPr>
        <sz val="11"/>
        <color rgb="FF000000"/>
        <rFont val="Aptos Narrow"/>
        <family val="2"/>
        <scheme val="minor"/>
      </rPr>
      <t xml:space="preserve">- </t>
    </r>
    <r>
      <rPr>
        <b/>
        <sz val="11"/>
        <color rgb="FF000000"/>
        <rFont val="Aptos Narrow"/>
        <family val="2"/>
        <scheme val="minor"/>
      </rPr>
      <t>Guy</t>
    </r>
    <r>
      <rPr>
        <sz val="11"/>
        <color rgb="FF000000"/>
        <rFont val="Aptos Narrow"/>
        <family val="2"/>
        <scheme val="minor"/>
      </rPr>
      <t xml:space="preserve">: Parallel with unified common services roadmap?
- </t>
    </r>
    <r>
      <rPr>
        <b/>
        <sz val="11"/>
        <color rgb="FF000000"/>
        <rFont val="Aptos Narrow"/>
        <family val="2"/>
        <scheme val="minor"/>
      </rPr>
      <t xml:space="preserve">Hansjoerg:
</t>
    </r>
    <r>
      <rPr>
        <sz val="11"/>
        <color rgb="FF000000"/>
        <rFont val="Aptos Narrow"/>
        <family val="2"/>
        <scheme val="minor"/>
      </rPr>
      <t>-- Common services coordinated with HLCM, BIG
-- 95% Phase I global service has been catalogued: incl 17 services (fleet, engineering, booking hub, asset)
-- Jan-Mar: Phase II 
-- End of Mar: issue guidance on Phase III with business case for consolidation among agencies</t>
    </r>
  </si>
  <si>
    <r>
      <rPr>
        <b/>
        <sz val="11"/>
        <color theme="1"/>
        <rFont val="Aptos Narrow"/>
        <family val="2"/>
        <scheme val="minor"/>
      </rPr>
      <t>5 Feb:
Kelly:
- Will take the language issue offline</t>
    </r>
    <r>
      <rPr>
        <sz val="11"/>
        <color theme="1"/>
        <rFont val="Aptos Narrow"/>
        <family val="2"/>
        <scheme val="minor"/>
      </rPr>
      <t xml:space="preserve">
- Common architecture - shared vision - link global and country
- Not ready with roadmap -- need more edits
- Give to USG/SG next week
- Need decision -- no more new ERPS -- align in 2 ERP: SAP and Oracle
- Dual service model - shift to common platforms - consolidation of selected services
- Not to tailor to agencies
</t>
    </r>
    <r>
      <rPr>
        <b/>
        <sz val="11"/>
        <color theme="1"/>
        <rFont val="Aptos Narrow"/>
        <family val="2"/>
        <scheme val="minor"/>
      </rPr>
      <t xml:space="preserve">KJ:
</t>
    </r>
    <r>
      <rPr>
        <sz val="11"/>
        <color theme="1"/>
        <rFont val="Aptos Narrow"/>
        <family val="2"/>
        <scheme val="minor"/>
      </rPr>
      <t xml:space="preserve">- How roadmap brings diff pcs together: country-level, cross-pillar -- new quality we're doing here
</t>
    </r>
    <r>
      <rPr>
        <b/>
        <sz val="11"/>
        <color theme="1"/>
        <rFont val="Aptos Narrow"/>
        <family val="2"/>
        <scheme val="minor"/>
      </rPr>
      <t xml:space="preserve">Movses:
</t>
    </r>
    <r>
      <rPr>
        <sz val="11"/>
        <color theme="1"/>
        <rFont val="Aptos Narrow"/>
        <family val="2"/>
        <scheme val="minor"/>
      </rPr>
      <t xml:space="preserve">- Deadlines Sep-Dec -- determine action vs timeline
</t>
    </r>
    <r>
      <rPr>
        <b/>
        <sz val="11"/>
        <color theme="1"/>
        <rFont val="Aptos Narrow"/>
        <family val="2"/>
        <scheme val="minor"/>
      </rPr>
      <t xml:space="preserve">Guy:
</t>
    </r>
    <r>
      <rPr>
        <sz val="11"/>
        <color theme="1"/>
        <rFont val="Aptos Narrow"/>
        <family val="2"/>
        <scheme val="minor"/>
      </rPr>
      <t xml:space="preserve">- How do we change the political economy?
</t>
    </r>
    <r>
      <rPr>
        <b/>
        <sz val="11"/>
        <color theme="1"/>
        <rFont val="Aptos Narrow"/>
        <family val="2"/>
        <scheme val="minor"/>
      </rPr>
      <t xml:space="preserve">Kelly:
</t>
    </r>
    <r>
      <rPr>
        <sz val="11"/>
        <color theme="1"/>
        <rFont val="Aptos Narrow"/>
        <family val="2"/>
        <scheme val="minor"/>
      </rPr>
      <t xml:space="preserve">- First need to find blockers - -why entities opt out late
- Agencies need to come willingly to solutions -- same or higher quality -- example fleet (with WFP) we have 22 entities joining
- CBOs: difficult to participate if entities have to have separate processes -- similar ERP/platform -- see Nairobi
</t>
    </r>
    <r>
      <rPr>
        <b/>
        <sz val="11"/>
        <color theme="1"/>
        <rFont val="Aptos Narrow"/>
        <family val="2"/>
        <scheme val="minor"/>
      </rPr>
      <t xml:space="preserve">Hansjoerg:
</t>
    </r>
    <r>
      <rPr>
        <sz val="11"/>
        <color theme="1"/>
        <rFont val="Aptos Narrow"/>
        <family val="2"/>
        <scheme val="minor"/>
      </rPr>
      <t xml:space="preserve">- Agencies fear if they disappear logistically -- they're reduced to normative orgs
- No urgency vs. Task Force
</t>
    </r>
    <r>
      <rPr>
        <b/>
        <sz val="11"/>
        <color theme="1"/>
        <rFont val="Aptos Narrow"/>
        <family val="2"/>
        <scheme val="minor"/>
      </rPr>
      <t xml:space="preserve">Andrew:
</t>
    </r>
    <r>
      <rPr>
        <sz val="11"/>
        <color theme="1"/>
        <rFont val="Aptos Narrow"/>
        <family val="2"/>
        <scheme val="minor"/>
      </rPr>
      <t xml:space="preserve">- Evidence-based arguments
</t>
    </r>
    <r>
      <rPr>
        <b/>
        <sz val="11"/>
        <color theme="1"/>
        <rFont val="Aptos Narrow"/>
        <family val="2"/>
        <scheme val="minor"/>
      </rPr>
      <t xml:space="preserve">Guy:
</t>
    </r>
    <r>
      <rPr>
        <sz val="11"/>
        <color theme="1"/>
        <rFont val="Aptos Narrow"/>
        <family val="2"/>
        <scheme val="minor"/>
      </rPr>
      <t>- Connect with Principals - diagnostics for SG -- SteerCo, CEB -- need to be packaged to SG</t>
    </r>
    <r>
      <rPr>
        <b/>
        <sz val="11"/>
        <color theme="1"/>
        <rFont val="Aptos Narrow"/>
        <family val="2"/>
        <scheme val="minor"/>
      </rPr>
      <t xml:space="preserve">
7 Jan:</t>
    </r>
    <r>
      <rPr>
        <sz val="11"/>
        <color theme="1"/>
        <rFont val="Aptos Narrow"/>
        <family val="2"/>
        <scheme val="minor"/>
      </rPr>
      <t xml:space="preserve">
- </t>
    </r>
    <r>
      <rPr>
        <b/>
        <sz val="11"/>
        <color theme="1"/>
        <rFont val="Aptos Narrow"/>
        <family val="2"/>
        <scheme val="minor"/>
      </rPr>
      <t>Catherine</t>
    </r>
    <r>
      <rPr>
        <sz val="11"/>
        <color theme="1"/>
        <rFont val="Aptos Narrow"/>
        <family val="2"/>
        <scheme val="minor"/>
      </rPr>
      <t xml:space="preserve">:
-- Objective not to launch new reform initiatives - collective ownership across the system
-- Not a single -- but rather common narrative, disciplined strx for decision-making
-- WP14 joint initiative -- HLCM system-wide, BIG operational reach, WFP part of both
-- Action 63 64 core - 65 assessment -- not sequential
-- 63: single integrated roadmap outline strx 2complimentary models: standardized + marketplace by EOM
- </t>
    </r>
    <r>
      <rPr>
        <b/>
        <sz val="11"/>
        <color theme="1"/>
        <rFont val="Aptos Narrow"/>
        <family val="2"/>
        <scheme val="minor"/>
      </rPr>
      <t>Guy</t>
    </r>
    <r>
      <rPr>
        <sz val="11"/>
        <color theme="1"/>
        <rFont val="Aptos Narrow"/>
        <family val="2"/>
        <scheme val="minor"/>
      </rPr>
      <t xml:space="preserve">: Realistic expectation?
- </t>
    </r>
    <r>
      <rPr>
        <b/>
        <sz val="11"/>
        <color theme="1"/>
        <rFont val="Aptos Narrow"/>
        <family val="2"/>
        <scheme val="minor"/>
      </rPr>
      <t>Catherine</t>
    </r>
    <r>
      <rPr>
        <sz val="11"/>
        <color theme="1"/>
        <rFont val="Aptos Narrow"/>
        <family val="2"/>
        <scheme val="minor"/>
      </rPr>
      <t xml:space="preserve">:
-- Optimistic, in the last 18 months especially to work together
-- HLCM coalition of the willing, sell the rest by showing benefits
-- Can't have perception of compulsion -- like CBO
- </t>
    </r>
    <r>
      <rPr>
        <b/>
        <sz val="11"/>
        <color theme="1"/>
        <rFont val="Aptos Narrow"/>
        <family val="2"/>
        <scheme val="minor"/>
      </rPr>
      <t>Movses</t>
    </r>
    <r>
      <rPr>
        <sz val="11"/>
        <color theme="1"/>
        <rFont val="Aptos Narrow"/>
        <family val="2"/>
        <scheme val="minor"/>
      </rPr>
      <t xml:space="preserve">: 
-- 14 Jan dashboard posted; how we ensure that MS not asking how SG is doing something without asking us
-- SG needs to hand over by November - pragmatic by November
- </t>
    </r>
    <r>
      <rPr>
        <b/>
        <sz val="11"/>
        <color theme="1"/>
        <rFont val="Aptos Narrow"/>
        <family val="2"/>
        <scheme val="minor"/>
      </rPr>
      <t>Guy</t>
    </r>
    <r>
      <rPr>
        <sz val="11"/>
        <color theme="1"/>
        <rFont val="Aptos Narrow"/>
        <family val="2"/>
        <scheme val="minor"/>
      </rPr>
      <t xml:space="preserve">: Real substance by HLW
- </t>
    </r>
    <r>
      <rPr>
        <b/>
        <sz val="11"/>
        <color theme="1"/>
        <rFont val="Aptos Narrow"/>
        <family val="2"/>
        <scheme val="minor"/>
      </rPr>
      <t>Catherine</t>
    </r>
    <r>
      <rPr>
        <sz val="11"/>
        <color theme="1"/>
        <rFont val="Aptos Narrow"/>
        <family val="2"/>
        <scheme val="minor"/>
      </rPr>
      <t>: Careful on supply chain -- procurement -- largest area; politicized (air asset, fuel)
-- MS will jump - are you complying with rules? Needs to be careful on OCHA (AFPs more flexible)
-- Need mitigation strategy for this bcs this is risk</t>
    </r>
  </si>
  <si>
    <r>
      <rPr>
        <b/>
        <sz val="11"/>
        <color theme="1"/>
        <rFont val="Aptos Narrow"/>
        <family val="2"/>
        <scheme val="minor"/>
      </rPr>
      <t>5 Feb:</t>
    </r>
    <r>
      <rPr>
        <sz val="11"/>
        <color theme="1"/>
        <rFont val="Aptos Narrow"/>
        <family val="2"/>
        <scheme val="minor"/>
      </rPr>
      <t xml:space="preserve">
- What is the status of the package?
- In simple terms, how does this link to / or catalyze the BIG / HLCM agendas?
- On the last Task Force, you mentioned Phase II. What is Phase II and what is the status of Phase II?
-----
- What is the plan to scale and institutionalize this work?</t>
    </r>
  </si>
  <si>
    <r>
      <t xml:space="preserve">5 Feb:
</t>
    </r>
    <r>
      <rPr>
        <sz val="11"/>
        <color theme="1"/>
        <rFont val="Aptos Narrow"/>
        <family val="2"/>
        <scheme val="minor"/>
      </rPr>
      <t>- Note: Here, the key question is how this work (which progress) is linked to the BIG and HLCM agenda.</t>
    </r>
  </si>
  <si>
    <r>
      <rPr>
        <b/>
        <sz val="11"/>
        <color theme="1"/>
        <rFont val="Aptos Narrow"/>
        <family val="2"/>
        <scheme val="minor"/>
      </rPr>
      <t xml:space="preserve">14 Jan:
</t>
    </r>
    <r>
      <rPr>
        <sz val="11"/>
        <color theme="1"/>
        <rFont val="Aptos Narrow"/>
        <family val="2"/>
        <scheme val="minor"/>
      </rPr>
      <t>- What is the progress of the draft workplan?
- When can we take to SC?
------
- Governance options validated?
- Quick wins and starter countries confirmed?
- Joint data-sharing ambition agreed?</t>
    </r>
  </si>
  <si>
    <r>
      <t xml:space="preserve">14 Jan:
</t>
    </r>
    <r>
      <rPr>
        <sz val="11"/>
        <color theme="1"/>
        <rFont val="Aptos Narrow"/>
        <family val="2"/>
        <scheme val="minor"/>
      </rPr>
      <t>- Note: This seems to progress well, but needs to land with a ‘launchable’ plan in Q1 / Q2. Plus: Risk of being tangled up in coordination with non-UN entities.</t>
    </r>
  </si>
  <si>
    <r>
      <rPr>
        <b/>
        <sz val="11"/>
        <color theme="1"/>
        <rFont val="Aptos Narrow"/>
        <family val="2"/>
        <scheme val="minor"/>
      </rPr>
      <t xml:space="preserve">21 Jan: 
</t>
    </r>
    <r>
      <rPr>
        <sz val="11"/>
        <color theme="1"/>
        <rFont val="Aptos Narrow"/>
        <family val="2"/>
        <scheme val="minor"/>
      </rPr>
      <t xml:space="preserve">- How is this mechanism different from the previous efforts?
- How will you resource the support to the initiative long-term.
</t>
    </r>
  </si>
  <si>
    <r>
      <t>21 Jan:</t>
    </r>
    <r>
      <rPr>
        <sz val="11"/>
        <color theme="1"/>
        <rFont val="Aptos Narrow"/>
        <family val="2"/>
        <scheme val="minor"/>
      </rPr>
      <t xml:space="preserve">
- Note: This seems to boil down to a regular principals meeting on about 12 agreed settings. Unclear what else.</t>
    </r>
  </si>
  <si>
    <r>
      <rPr>
        <b/>
        <sz val="11"/>
        <color theme="1"/>
        <rFont val="Aptos Narrow"/>
        <family val="2"/>
        <scheme val="minor"/>
      </rPr>
      <t xml:space="preserve">21 Jan: 
</t>
    </r>
    <r>
      <rPr>
        <sz val="11"/>
        <color theme="1"/>
        <rFont val="Aptos Narrow"/>
        <family val="2"/>
        <scheme val="minor"/>
      </rPr>
      <t xml:space="preserve">- What does success look like for this action?
- Are the 3 entities close to agreement on the approach?
- Are priority countries confirmed? What are they?
</t>
    </r>
  </si>
  <si>
    <r>
      <t xml:space="preserve">21 Jan:
</t>
    </r>
    <r>
      <rPr>
        <sz val="11"/>
        <color theme="1"/>
        <rFont val="Aptos Narrow"/>
        <family val="2"/>
        <scheme val="minor"/>
      </rPr>
      <t xml:space="preserve">- Note: It seems unclear if there is alignment on goals and actions. We should consider bringing relevant USG/ASG into the next TF. </t>
    </r>
  </si>
  <si>
    <r>
      <rPr>
        <b/>
        <sz val="11"/>
        <color theme="1"/>
        <rFont val="Aptos Narrow"/>
        <family val="2"/>
        <scheme val="minor"/>
      </rPr>
      <t>21 Jan:</t>
    </r>
    <r>
      <rPr>
        <sz val="11"/>
        <color theme="1"/>
        <rFont val="Aptos Narrow"/>
        <family val="2"/>
        <scheme val="minor"/>
      </rPr>
      <t xml:space="preserve"> 
- What does success look like for this action?
- Are the context-specific approaches agreed? What is the context selected?
- How are the approaches different from before?</t>
    </r>
  </si>
  <si>
    <r>
      <t xml:space="preserve">21 Jan:
</t>
    </r>
    <r>
      <rPr>
        <sz val="11"/>
        <color theme="1"/>
        <rFont val="Aptos Narrow"/>
        <family val="2"/>
        <scheme val="minor"/>
      </rPr>
      <t xml:space="preserve">- Note: While ‘less bad’ than food security, OCHA and we don’t have enough info. We should consider bringing the USG/ASG into the next TF. </t>
    </r>
  </si>
  <si>
    <r>
      <rPr>
        <b/>
        <sz val="11"/>
        <color theme="1"/>
        <rFont val="Aptos Narrow"/>
        <family val="2"/>
        <scheme val="minor"/>
      </rPr>
      <t xml:space="preserve">21 Jan:
</t>
    </r>
    <r>
      <rPr>
        <sz val="11"/>
        <color theme="1"/>
        <rFont val="Aptos Narrow"/>
        <family val="2"/>
        <scheme val="minor"/>
      </rPr>
      <t>- What does success look like?
- How can we support you? Our intent is to make ‘beneficiary data’ a priority use case in the technology accelerator.</t>
    </r>
  </si>
  <si>
    <r>
      <t xml:space="preserve">21 Jan:
</t>
    </r>
    <r>
      <rPr>
        <sz val="11"/>
        <color theme="1"/>
        <rFont val="Aptos Narrow"/>
        <family val="2"/>
        <scheme val="minor"/>
      </rPr>
      <t>- Note: This seems to have started off very well, with good commitment, ambition and plans. Key here is that we want to make ‘beneficiary data’ a use case for the ‘technology accelerator’ (TAP) so it gets light in the SteerCo.</t>
    </r>
  </si>
  <si>
    <r>
      <rPr>
        <b/>
        <sz val="11"/>
        <color theme="1"/>
        <rFont val="Aptos Narrow"/>
        <family val="2"/>
        <scheme val="minor"/>
      </rPr>
      <t xml:space="preserve">21 Jan:
</t>
    </r>
    <r>
      <rPr>
        <sz val="11"/>
        <color theme="1"/>
        <rFont val="Aptos Narrow"/>
        <family val="2"/>
        <scheme val="minor"/>
      </rPr>
      <t>- What does success look like?
- What are the priority areas agreed on during the discussion?
- How is this different from before?</t>
    </r>
  </si>
  <si>
    <r>
      <rPr>
        <b/>
        <sz val="11"/>
        <color theme="1"/>
        <rFont val="Aptos Narrow"/>
        <family val="2"/>
        <scheme val="minor"/>
      </rPr>
      <t>28 Jan:</t>
    </r>
    <r>
      <rPr>
        <sz val="11"/>
        <color theme="1"/>
        <rFont val="Aptos Narrow"/>
        <family val="2"/>
        <scheme val="minor"/>
      </rPr>
      <t xml:space="preserve">
- What is the ETA for the assessment?
- Have you completed the vision statement you mentioned last time?
- What is the plan for the February regular executive board session, or for creating an extraordinary session (and when)?
- What are next steps in getting a proposal to the SG and then to GA (when and how)?
</t>
    </r>
    <r>
      <rPr>
        <b/>
        <sz val="11"/>
        <color theme="1"/>
        <rFont val="Aptos Narrow"/>
        <family val="2"/>
        <scheme val="minor"/>
      </rPr>
      <t xml:space="preserve">
17 Dec:
</t>
    </r>
    <r>
      <rPr>
        <sz val="11"/>
        <color theme="1"/>
        <rFont val="Aptos Narrow"/>
        <family val="2"/>
        <scheme val="minor"/>
      </rPr>
      <t>- Scope, methodology, data needs defined?
- Document, data, interview collected?
- Analysis conducted?
- Findings validated with experts?
- Draft developed?</t>
    </r>
  </si>
  <si>
    <r>
      <t xml:space="preserve">28 Jan:
</t>
    </r>
    <r>
      <rPr>
        <sz val="11"/>
        <color theme="1"/>
        <rFont val="Aptos Narrow"/>
        <family val="2"/>
        <scheme val="minor"/>
      </rPr>
      <t>- Next UNDP / UNOPS / UNFPA Executive Board sessions are 2-5 February, i.e. next week. Assessment is overdue for SG consideration. Leaked assessments, or rumors of them, are making rounds among key donors.</t>
    </r>
  </si>
  <si>
    <r>
      <rPr>
        <b/>
        <sz val="11"/>
        <color theme="1"/>
        <rFont val="Aptos Narrow"/>
        <family val="2"/>
        <scheme val="minor"/>
      </rPr>
      <t xml:space="preserve">28 Jan:
</t>
    </r>
    <r>
      <rPr>
        <sz val="11"/>
        <color theme="1"/>
        <rFont val="Aptos Narrow"/>
        <family val="2"/>
        <scheme val="minor"/>
      </rPr>
      <t xml:space="preserve">- What is the ETA for the assessment?
- Have you been able to formulate a vision statement, as suggested last time?
- What is the plan for the February regular executive board session, or for creating an extraordinary session (and when)?
- What are next steps in getting a proposal to the SG and then to GA (when and how)?
</t>
    </r>
    <r>
      <rPr>
        <b/>
        <sz val="11"/>
        <color theme="1"/>
        <rFont val="Aptos Narrow"/>
        <family val="2"/>
        <scheme val="minor"/>
      </rPr>
      <t xml:space="preserve">17 Dec:
</t>
    </r>
    <r>
      <rPr>
        <sz val="11"/>
        <color theme="1"/>
        <rFont val="Aptos Narrow"/>
        <family val="2"/>
        <scheme val="minor"/>
      </rPr>
      <t>- Scope, methodology, data needs defined?
- Document, data, interview collected?
- Analysis conducted?
- Findings validated with experts?
- Draft developed?</t>
    </r>
  </si>
  <si>
    <r>
      <t xml:space="preserve">28 Jan:
</t>
    </r>
    <r>
      <rPr>
        <sz val="11"/>
        <color theme="1"/>
        <rFont val="Aptos Narrow"/>
        <family val="2"/>
        <scheme val="minor"/>
      </rPr>
      <t>- Note: Same note and questions.</t>
    </r>
  </si>
  <si>
    <r>
      <rPr>
        <b/>
        <sz val="11"/>
        <color theme="1"/>
        <rFont val="Aptos Narrow"/>
        <family val="2"/>
        <scheme val="minor"/>
      </rPr>
      <t>28 Jan:</t>
    </r>
    <r>
      <rPr>
        <sz val="11"/>
        <color theme="1"/>
        <rFont val="Aptos Narrow"/>
        <family val="2"/>
        <scheme val="minor"/>
      </rPr>
      <t xml:space="preserve">
- What progress since the last task force? 
- What is the status of the options assessment? ETA, % complete, etc.?
- What are the next steps?</t>
    </r>
    <r>
      <rPr>
        <b/>
        <sz val="11"/>
        <color theme="1"/>
        <rFont val="Aptos Narrow"/>
        <family val="2"/>
        <scheme val="minor"/>
      </rPr>
      <t xml:space="preserve">
17 Dec:
</t>
    </r>
    <r>
      <rPr>
        <sz val="11"/>
        <color theme="1"/>
        <rFont val="Aptos Narrow"/>
        <family val="2"/>
        <scheme val="minor"/>
      </rPr>
      <t>- Scope, methodology, data needs defined?
- Document, data, interview collected?
- Analysis conducted?
- Findings validated with experts?
- Draft developed?</t>
    </r>
  </si>
  <si>
    <r>
      <t xml:space="preserve">28 Jan:
</t>
    </r>
    <r>
      <rPr>
        <sz val="11"/>
        <color theme="1"/>
        <rFont val="Aptos Narrow"/>
        <family val="2"/>
        <scheme val="minor"/>
      </rPr>
      <t xml:space="preserve">- Note: DESA cannot / should not take operational responsibility for UNFPA’s work on the ground. Remember UNFPA census support is about $120 million per year, while DESA work is $8 million… The most obvious partners are UNDP (has elections support experience) or UNICEF (does a lot of survey work). Unclear how the work is progressing. </t>
    </r>
  </si>
  <si>
    <r>
      <rPr>
        <b/>
        <sz val="11"/>
        <color theme="1"/>
        <rFont val="Aptos Narrow"/>
        <family val="2"/>
        <scheme val="minor"/>
      </rPr>
      <t>28 Jan:</t>
    </r>
    <r>
      <rPr>
        <sz val="11"/>
        <color theme="1"/>
        <rFont val="Aptos Narrow"/>
        <family val="2"/>
        <scheme val="minor"/>
      </rPr>
      <t xml:space="preserve">
- Looking ahead to UNGA, what is the product, the inter-governmental moment and resolution that will help us lock in the trajectory? Focus on that (the ‘pathway’).
- Where are we on the consultation roadmap (mentioned last TF)?
- What are the 2-3 solutions we can recommend now (not more diagnostics), and what decisions are needed to advance them?
- Where do we risk waiting for dependencies that could delay progress unnecessarily?
- What legislative / procedural pathways are anticipated (what resolution when)?</t>
    </r>
    <r>
      <rPr>
        <b/>
        <sz val="11"/>
        <color theme="1"/>
        <rFont val="Aptos Narrow"/>
        <family val="2"/>
        <scheme val="minor"/>
      </rPr>
      <t xml:space="preserve">
17 Dec:
</t>
    </r>
    <r>
      <rPr>
        <sz val="11"/>
        <color theme="1"/>
        <rFont val="Aptos Narrow"/>
        <family val="2"/>
        <scheme val="minor"/>
      </rPr>
      <t>- Initial concept drafted?
- Stakeholders mapped?
- Concept circulated among stakeholders?
- Proposal outline drafted?</t>
    </r>
  </si>
  <si>
    <r>
      <t xml:space="preserve">28 Jan:
</t>
    </r>
    <r>
      <rPr>
        <sz val="11"/>
        <color theme="1"/>
        <rFont val="Aptos Narrow"/>
        <family val="2"/>
        <scheme val="minor"/>
      </rPr>
      <t>- Note: Partner impressions at GA briefing: Diagnostics are clear, but solutions (what Jorge calls building blocks) are less well defined. It will be important to push for a ‘portfolio of solutions’ – starting with the ‘most obvious’ (e.g., more multi-country offices). Critically, we need to push the team to define a ‘landing zone’ before GA, i.e., ‘what product when and where with the GA’?</t>
    </r>
  </si>
  <si>
    <r>
      <rPr>
        <b/>
        <sz val="11"/>
        <color theme="1"/>
        <rFont val="Aptos Narrow"/>
        <family val="2"/>
        <scheme val="minor"/>
      </rPr>
      <t xml:space="preserve">28 Jan:
</t>
    </r>
    <r>
      <rPr>
        <sz val="11"/>
        <color theme="1"/>
        <rFont val="Aptos Narrow"/>
        <family val="2"/>
        <scheme val="minor"/>
      </rPr>
      <t xml:space="preserve">- What is the legislative, procedural and political pathway to success?
- What is the SG report we will use to get GA buy-in? How far along is it?
- If time: How far along on ‘expanding multi-country offices?
</t>
    </r>
    <r>
      <rPr>
        <b/>
        <sz val="11"/>
        <color theme="1"/>
        <rFont val="Aptos Narrow"/>
        <family val="2"/>
        <scheme val="minor"/>
      </rPr>
      <t xml:space="preserve">17 Dec:
</t>
    </r>
    <r>
      <rPr>
        <sz val="11"/>
        <color theme="1"/>
        <rFont val="Aptos Narrow"/>
        <family val="2"/>
        <scheme val="minor"/>
      </rPr>
      <t>- Concept drafted?
- Baseline in country established?
- Country situation or needs mapped?
- Country typology established?
- Stakeholders mapped?
- Stakeholder discussion held?</t>
    </r>
  </si>
  <si>
    <r>
      <t xml:space="preserve">28 Jan:
</t>
    </r>
    <r>
      <rPr>
        <sz val="11"/>
        <color theme="1"/>
        <rFont val="Aptos Narrow"/>
        <family val="2"/>
        <scheme val="minor"/>
      </rPr>
      <t>- Note: This is primarily about the future of DCO, RCs, and RC Offices – essentially the future budget, structures, functions of what DSG / Oscar oversee. Keywords issues are DCO 2.0, more multi-country offices (currently 16). Key issue is ‘pathway’.</t>
    </r>
  </si>
  <si>
    <r>
      <rPr>
        <b/>
        <sz val="11"/>
        <color theme="1"/>
        <rFont val="Aptos Narrow"/>
        <family val="2"/>
        <scheme val="minor"/>
      </rPr>
      <t xml:space="preserve">28 Jan:
</t>
    </r>
    <r>
      <rPr>
        <sz val="11"/>
        <color theme="1"/>
        <rFont val="Aptos Narrow"/>
        <family val="2"/>
        <scheme val="minor"/>
      </rPr>
      <t xml:space="preserve">- Is the working group on track in finalizing and sharing the draft outline with the SG by 31 Jan? If not, by when?
- What are the top decisions needed to keep momentum and reduce complexity?
</t>
    </r>
    <r>
      <rPr>
        <b/>
        <sz val="11"/>
        <color theme="1"/>
        <rFont val="Aptos Narrow"/>
        <family val="2"/>
        <scheme val="minor"/>
      </rPr>
      <t xml:space="preserve">17 Dec:
</t>
    </r>
    <r>
      <rPr>
        <sz val="11"/>
        <color theme="1"/>
        <rFont val="Aptos Narrow"/>
        <family val="2"/>
        <scheme val="minor"/>
      </rPr>
      <t>- Stakeholders mapped?
- Initial concept drafted
- Concept circulated among stakeholders?
- Outline drafted?</t>
    </r>
  </si>
  <si>
    <r>
      <t xml:space="preserve">28 Jan:
</t>
    </r>
    <r>
      <rPr>
        <sz val="11"/>
        <color theme="1"/>
        <rFont val="Aptos Narrow"/>
        <family val="2"/>
        <scheme val="minor"/>
      </rPr>
      <t>- Note: If any, this is the key work package to push for ‘focus’ and ‘simple solutions’ first. It is also the package most likely to ‘hold up’ others through ‘inter-relationship’ talk. Push colleagues to focus, prioritize, sequence.</t>
    </r>
  </si>
  <si>
    <r>
      <rPr>
        <b/>
        <sz val="11"/>
        <color theme="1"/>
        <rFont val="Aptos Narrow"/>
        <family val="2"/>
        <scheme val="minor"/>
      </rPr>
      <t xml:space="preserve">28 Jan:
</t>
    </r>
    <r>
      <rPr>
        <sz val="11"/>
        <color theme="1"/>
        <rFont val="Aptos Narrow"/>
        <family val="2"/>
        <scheme val="minor"/>
      </rPr>
      <t>- How do we keep this simple? This is about ‘hosting’ colleagues in REC, i.e. giving them a desk – free or ‘for pay’. 
- How are you progressing on this? What are the potentially available ‘desks’. Who would want one? How do they pay?
- Have you talked with DMSPC / DOS about simple cost-recovery setups?</t>
    </r>
    <r>
      <rPr>
        <b/>
        <sz val="11"/>
        <color theme="1"/>
        <rFont val="Aptos Narrow"/>
        <family val="2"/>
        <scheme val="minor"/>
      </rPr>
      <t xml:space="preserve">
17 Dec:
</t>
    </r>
    <r>
      <rPr>
        <sz val="11"/>
        <color theme="1"/>
        <rFont val="Aptos Narrow"/>
        <family val="2"/>
        <scheme val="minor"/>
      </rPr>
      <t>- Initial concept drafted?
- Stakeholders mapped?
- Regional situation or needs mapped?
- Regional typology established?</t>
    </r>
  </si>
  <si>
    <r>
      <t xml:space="preserve">28 Jan:
</t>
    </r>
    <r>
      <rPr>
        <sz val="11"/>
        <color theme="1"/>
        <rFont val="Aptos Narrow"/>
        <family val="2"/>
        <scheme val="minor"/>
      </rPr>
      <t xml:space="preserve">- Note: Colleagues are ‘off track’ on the core task. Help keep this simple. The core goal is an operational action: UN system colleagues getting office space in REC – either for free or being able to pay for it. This is easiest to organize for UN Secretariat entities who can pay via Umoja, if necessary. If anything, the operational implications of hosting are to be resolved with DOS / DMSPC, i.e. setting up cost-recovery budgets / pay. </t>
    </r>
  </si>
  <si>
    <r>
      <rPr>
        <b/>
        <sz val="11"/>
        <color theme="1"/>
        <rFont val="Aptos Narrow"/>
        <family val="2"/>
        <scheme val="minor"/>
      </rPr>
      <t xml:space="preserve">14 Jan:
</t>
    </r>
    <r>
      <rPr>
        <sz val="11"/>
        <color theme="1"/>
        <rFont val="Aptos Narrow"/>
        <family val="2"/>
        <scheme val="minor"/>
      </rPr>
      <t>- How can you ensure you keep moving forward, while staying connected to the regional reset work?</t>
    </r>
  </si>
  <si>
    <r>
      <t xml:space="preserve">14 Jan:
</t>
    </r>
    <r>
      <rPr>
        <sz val="11"/>
        <color theme="1"/>
        <rFont val="Aptos Narrow"/>
        <family val="2"/>
        <scheme val="minor"/>
      </rPr>
      <t>- Note: This may get tangled up in the ‘regional reset’. Check if deconflict possible.</t>
    </r>
  </si>
  <si>
    <r>
      <rPr>
        <b/>
        <sz val="11"/>
        <color theme="1"/>
        <rFont val="Aptos Narrow"/>
        <family val="2"/>
        <scheme val="minor"/>
      </rPr>
      <t xml:space="preserve">21 Jan:
</t>
    </r>
    <r>
      <rPr>
        <sz val="11"/>
        <color theme="1"/>
        <rFont val="Aptos Narrow"/>
        <family val="2"/>
        <scheme val="minor"/>
      </rPr>
      <t xml:space="preserve">- How many entities have support to the TOR indicated?
- When can we bring this to SteerCo?
- How do you intend to get formal endorsement?
</t>
    </r>
  </si>
  <si>
    <r>
      <t xml:space="preserve">21 Jan:
</t>
    </r>
    <r>
      <rPr>
        <sz val="11"/>
        <color theme="1"/>
        <rFont val="Aptos Narrow"/>
        <family val="2"/>
        <scheme val="minor"/>
      </rPr>
      <t>- Note: This seems to go well, ready for launch in Q2.</t>
    </r>
  </si>
  <si>
    <r>
      <t xml:space="preserve">21 Jan:
</t>
    </r>
    <r>
      <rPr>
        <sz val="11"/>
        <color theme="1"/>
        <rFont val="Aptos Narrow"/>
        <family val="2"/>
        <scheme val="minor"/>
      </rPr>
      <t xml:space="preserve">- Note: We have deck for your review showing existing resources and workload for SOM consideration. Key will be adapting the 2027 Programme Plan, e.g. for CEB Secretariat, now.
- USG to provide updates (we’ll prepare separately). </t>
    </r>
  </si>
  <si>
    <r>
      <rPr>
        <b/>
        <sz val="11"/>
        <color theme="1"/>
        <rFont val="Aptos Narrow"/>
        <family val="2"/>
        <scheme val="minor"/>
      </rPr>
      <t xml:space="preserve">28 Jan:
</t>
    </r>
    <r>
      <rPr>
        <sz val="11"/>
        <color theme="1"/>
        <rFont val="Aptos Narrow"/>
        <family val="2"/>
        <scheme val="minor"/>
      </rPr>
      <t>- Can we clearly articulate the core purpose of the platforms? The SG was very clear in the inter-cluster meeting last year where this was agreed: It’s about regional coordination meetings or mechanism. Very simple.
- How do we avoid misinterpretation within and outside the UN system?
- Can we sequence, pilot, prioritize?</t>
    </r>
    <r>
      <rPr>
        <b/>
        <sz val="11"/>
        <color theme="1"/>
        <rFont val="Aptos Narrow"/>
        <family val="2"/>
        <scheme val="minor"/>
      </rPr>
      <t xml:space="preserve">
17 Dec:
</t>
    </r>
    <r>
      <rPr>
        <sz val="11"/>
        <color theme="1"/>
        <rFont val="Aptos Narrow"/>
        <family val="2"/>
        <scheme val="minor"/>
      </rPr>
      <t>- Stakeholders mapped?
- Initial concept drafted
- Concept circulated among stakeholders?
- Outline drafted?</t>
    </r>
  </si>
  <si>
    <r>
      <t xml:space="preserve">28 Jan:
</t>
    </r>
    <r>
      <rPr>
        <sz val="11"/>
        <color theme="1"/>
        <rFont val="Aptos Narrow"/>
        <family val="2"/>
        <scheme val="minor"/>
      </rPr>
      <t>- Note: This package is becoming a risk for several reasons: 1) What was meant to be a simple setting of regular internal regional coordination meetings, is becoming diffuse in scope. 2) If not kept simple, member states (e.g., China) will see risks around ‘peace and security’ encroaching on development, and will hold up other packages. 3) Unclear if DPPA/DPO cooperate. Help keep this simple.</t>
    </r>
  </si>
  <si>
    <r>
      <rPr>
        <b/>
        <sz val="11"/>
        <color theme="1"/>
        <rFont val="Aptos Narrow"/>
        <family val="2"/>
        <scheme val="minor"/>
      </rPr>
      <t xml:space="preserve">28 Jan:
</t>
    </r>
    <r>
      <rPr>
        <sz val="11"/>
        <color theme="1"/>
        <rFont val="Aptos Narrow"/>
        <family val="2"/>
        <scheme val="minor"/>
      </rPr>
      <t>- Without forgetting the core ‘harmonization’ intent of this action, can we merge it with action 36 (the main one)?</t>
    </r>
    <r>
      <rPr>
        <b/>
        <sz val="11"/>
        <color theme="1"/>
        <rFont val="Aptos Narrow"/>
        <family val="2"/>
        <scheme val="minor"/>
      </rPr>
      <t xml:space="preserve">
17 Dec:
</t>
    </r>
    <r>
      <rPr>
        <sz val="11"/>
        <color theme="1"/>
        <rFont val="Aptos Narrow"/>
        <family val="2"/>
        <scheme val="minor"/>
      </rPr>
      <t>- Stakeholders mapped?
- Initial concept drafted
- Concept circulated among stakeholders?
- Outline drafted?</t>
    </r>
  </si>
  <si>
    <r>
      <t xml:space="preserve">28 Jan:
</t>
    </r>
    <r>
      <rPr>
        <sz val="11"/>
        <color theme="1"/>
        <rFont val="Aptos Narrow"/>
        <family val="2"/>
        <scheme val="minor"/>
      </rPr>
      <t>- Note: Unclear if we still need this as a separate action on regional reset. Presume this can be merged with action 36, which should have the same goal.</t>
    </r>
  </si>
  <si>
    <r>
      <rPr>
        <b/>
        <sz val="11"/>
        <color theme="1"/>
        <rFont val="Aptos Narrow"/>
        <family val="2"/>
        <scheme val="minor"/>
      </rPr>
      <t xml:space="preserve">21 Jan:
</t>
    </r>
    <r>
      <rPr>
        <sz val="11"/>
        <color theme="1"/>
        <rFont val="Aptos Narrow"/>
        <family val="2"/>
        <scheme val="minor"/>
      </rPr>
      <t>- Note: This seems unclear in scope, ambition, and plan.</t>
    </r>
  </si>
  <si>
    <r>
      <rPr>
        <b/>
        <sz val="11"/>
        <color theme="1"/>
        <rFont val="Aptos Narrow"/>
        <family val="2"/>
        <scheme val="minor"/>
      </rPr>
      <t xml:space="preserve">5 Feb:
</t>
    </r>
    <r>
      <rPr>
        <sz val="11"/>
        <color theme="1"/>
        <rFont val="Aptos Narrow"/>
        <family val="2"/>
        <scheme val="minor"/>
      </rPr>
      <t>- When can we expect the Unified Services Roadmap outline to be completed?
- In simple terms, how does integrate BIG, HLCM, humanitarian work – without slowing things down?
- On the dashboard, when will it be ready – and have you worked with BIG (who already started something)?
- Would this outline be shared to Steering Committee? When?
- Should we consider how to collect leadership commitment during Steering Committee or before CEB – to make progress irreversible?</t>
    </r>
    <r>
      <rPr>
        <b/>
        <sz val="11"/>
        <color theme="1"/>
        <rFont val="Aptos Narrow"/>
        <family val="2"/>
        <scheme val="minor"/>
      </rPr>
      <t xml:space="preserve">
7 Jan:</t>
    </r>
    <r>
      <rPr>
        <sz val="11"/>
        <color theme="1"/>
        <rFont val="Aptos Narrow"/>
        <family val="2"/>
        <scheme val="minor"/>
      </rPr>
      <t xml:space="preserve">
- What is the status of the ‘single unified services roadmap’, i.e. is it a shareable product?
- Are we integrating all aspects of HLCM, BIG, and humanitarian services agendas?
- How will we track progress on the shared service agenda (ask Jens, he has a dashboard draft)
----
FOR LATER (not for 7 Jan TF)
- How can the CEB meeting in May be helpful to ensure we have irreversible institutional progress on the roadmap?</t>
    </r>
  </si>
  <si>
    <r>
      <t xml:space="preserve">5 Feb:
</t>
    </r>
    <r>
      <rPr>
        <sz val="11"/>
        <color theme="1"/>
        <rFont val="Aptos Narrow"/>
        <family val="2"/>
        <scheme val="minor"/>
      </rPr>
      <t>- Note: Remo (HLCM Secretariat) mentioned that Catherine is still reviewing the roadmap outline. Not clear if she can present in detail. They asked for extension of deadline – without specifying when. The envisaged dashboard will be key for SG / Steering Committee (BIG sample).</t>
    </r>
  </si>
  <si>
    <r>
      <rPr>
        <b/>
        <sz val="11"/>
        <color theme="1"/>
        <rFont val="Aptos Narrow"/>
        <family val="2"/>
        <scheme val="minor"/>
      </rPr>
      <t>7 Jan:</t>
    </r>
    <r>
      <rPr>
        <sz val="11"/>
        <color theme="1"/>
        <rFont val="Aptos Narrow"/>
        <family val="2"/>
        <scheme val="minor"/>
      </rPr>
      <t xml:space="preserve">
- What is the difference between this and the shared supply chain work, if any?
</t>
    </r>
  </si>
  <si>
    <r>
      <rPr>
        <b/>
        <sz val="11"/>
        <color theme="1"/>
        <rFont val="Aptos Narrow"/>
        <family val="2"/>
        <scheme val="minor"/>
      </rPr>
      <t>5 Feb:</t>
    </r>
    <r>
      <rPr>
        <sz val="11"/>
        <color theme="1"/>
        <rFont val="Aptos Narrow"/>
        <family val="2"/>
        <scheme val="minor"/>
      </rPr>
      <t xml:space="preserve">
- Note: Same with Action 17. Suggest skipping if Hansjoerg already briefed before.</t>
    </r>
  </si>
  <si>
    <r>
      <rPr>
        <b/>
        <sz val="11"/>
        <color theme="1"/>
        <rFont val="Aptos Narrow"/>
        <family val="2"/>
        <scheme val="minor"/>
      </rPr>
      <t xml:space="preserve">5 Feb:
</t>
    </r>
    <r>
      <rPr>
        <sz val="11"/>
        <color theme="1"/>
        <rFont val="Aptos Narrow"/>
        <family val="2"/>
        <scheme val="minor"/>
      </rPr>
      <t>- When can we expect the assessment framework to be completed?
- Would this outline be shared to Steering Committee? When?
- On last Task Force, you mentioned expanded membership and governance. What is the status of that?</t>
    </r>
    <r>
      <rPr>
        <b/>
        <sz val="11"/>
        <color theme="1"/>
        <rFont val="Aptos Narrow"/>
        <family val="2"/>
        <scheme val="minor"/>
      </rPr>
      <t xml:space="preserve">
7 Jan:
</t>
    </r>
    <r>
      <rPr>
        <sz val="11"/>
        <color theme="1"/>
        <rFont val="Aptos Narrow"/>
        <family val="2"/>
        <scheme val="minor"/>
      </rPr>
      <t>- Has the draft assessment framework prepared?
- How are you prioritizing and sequencing simpler work (i.e. on ICT) from more complex tasks (i.e. ERP systems)
----
- How can we make sure we get irreversible progress?
- How can the SG help push?</t>
    </r>
  </si>
  <si>
    <r>
      <t xml:space="preserve">5 Feb:
</t>
    </r>
    <r>
      <rPr>
        <sz val="11"/>
        <color theme="1"/>
        <rFont val="Aptos Narrow"/>
        <family val="2"/>
        <scheme val="minor"/>
      </rPr>
      <t>- Note: The key item to ask for is the ‘dashboard’ that will global / country level shared service progress. We want this regularly for the Steering Committee.
- Note: Remo (HLCM Secretariat) mentioned that Catherine is still reviewing the roadmap outline. Not clear if she can present in detail. They asked for extension of deadline – without specifying when.</t>
    </r>
  </si>
  <si>
    <r>
      <rPr>
        <b/>
        <sz val="11"/>
        <color theme="1"/>
        <rFont val="Aptos Narrow"/>
        <family val="2"/>
        <scheme val="minor"/>
      </rPr>
      <t xml:space="preserve">5 Feb:
</t>
    </r>
    <r>
      <rPr>
        <sz val="11"/>
        <color theme="1"/>
        <rFont val="Aptos Narrow"/>
        <family val="2"/>
        <scheme val="minor"/>
      </rPr>
      <t>- To both Catherine and Andrew, how can we secure commitments from entity leaders to avoid back-tracking? We need to either ‘formalize’ coalitions of the willing – or push beyond that. How?
- How can the SG help? He is ready.</t>
    </r>
    <r>
      <rPr>
        <b/>
        <sz val="11"/>
        <color theme="1"/>
        <rFont val="Aptos Narrow"/>
        <family val="2"/>
        <scheme val="minor"/>
      </rPr>
      <t xml:space="preserve">
7 Jan:</t>
    </r>
    <r>
      <rPr>
        <sz val="11"/>
        <color theme="1"/>
        <rFont val="Aptos Narrow"/>
        <family val="2"/>
        <scheme val="minor"/>
      </rPr>
      <t xml:space="preserve">
- Given the limited progress on common country back-offices in the past years (about 5% of target countries covered): How is this approach different?
------------
- How are BIG and HLCM working together as part of the Unified Services Roadmap to make common country back offices a success this time?
- Is Self-Starter common back-office trainings initiated?
- Is the interagency task force established?
- Do we know which agencies and entities are participating?
- How can the SG help push?</t>
    </r>
  </si>
  <si>
    <r>
      <t xml:space="preserve">5 Feb:
</t>
    </r>
    <r>
      <rPr>
        <sz val="11"/>
        <color theme="1"/>
        <rFont val="Aptos Narrow"/>
        <family val="2"/>
        <scheme val="minor"/>
      </rPr>
      <t>- Notes: While the deliverables are all ‘nice’, key here is the lack of commitment from entities (and back-tracking). Two things are needed: 1) More progress on actions 63 and 64 to unlock global integration; 2) Getting entities to commit at top-leadership level (in SC, CEB, or else).</t>
    </r>
  </si>
  <si>
    <r>
      <rPr>
        <b/>
        <sz val="11"/>
        <color theme="1"/>
        <rFont val="Aptos Narrow"/>
        <family val="2"/>
        <scheme val="minor"/>
      </rPr>
      <t xml:space="preserve">5 Feb:
</t>
    </r>
    <r>
      <rPr>
        <sz val="11"/>
        <color theme="1"/>
        <rFont val="Aptos Narrow"/>
        <family val="2"/>
        <scheme val="minor"/>
      </rPr>
      <t>- Notes: This action is about ‘harmonizing the support cost rates on XB (7-13%)’. BIG had misunderstood the task. We met at ASG level to clarify. Suggested way forward is to make this a BIG+HLCM task, and to limit initial scope to ‘bring transparency to the ‘cost of support’, i.e. clear mapping of costs per service transaction – not only at country level.
- Cost harmonization is a sensitive topic, yet the action is what the action is. We don’t intend to change the action.
- In a first step, bringing transparency to support costs is a milestone towards that goal. However, the transparency cannot focus on ‘country-level’.
- Global-level mapping is also required and should be part of the overall Unified Services Roadmap outline.
- Suggest that HLCM and BIG work together on this.</t>
    </r>
  </si>
  <si>
    <r>
      <rPr>
        <b/>
        <sz val="11"/>
        <color theme="1"/>
        <rFont val="Aptos Narrow"/>
        <family val="2"/>
        <scheme val="minor"/>
      </rPr>
      <t xml:space="preserve">5 Feb:
</t>
    </r>
    <r>
      <rPr>
        <sz val="11"/>
        <color theme="1"/>
        <rFont val="Aptos Narrow"/>
        <family val="2"/>
        <scheme val="minor"/>
      </rPr>
      <t>- Ask DTN Co-Chair (Dejan from FAO) to brief. 
- How is this related to Unified Services Roadmap? 
- Emphasize that ICT personnel consolidation and greater use of shared services is the goal here.</t>
    </r>
    <r>
      <rPr>
        <b/>
        <sz val="11"/>
        <color theme="1"/>
        <rFont val="Aptos Narrow"/>
        <family val="2"/>
        <scheme val="minor"/>
      </rPr>
      <t xml:space="preserve">
7 Jan:
</t>
    </r>
    <r>
      <rPr>
        <sz val="11"/>
        <color theme="1"/>
        <rFont val="Aptos Narrow"/>
        <family val="2"/>
        <scheme val="minor"/>
      </rPr>
      <t>- What is the progress on mapping existing ICT capacities?
- To what extent have you mapped ICT personnel capacity across the system, given that they account for most of the cost?</t>
    </r>
  </si>
  <si>
    <r>
      <t xml:space="preserve">5 Feb:
</t>
    </r>
    <r>
      <rPr>
        <sz val="11"/>
        <color theme="1"/>
        <rFont val="Aptos Narrow"/>
        <family val="2"/>
        <scheme val="minor"/>
      </rPr>
      <t>- Note: You shared a survey yesterday to get the baseline info for this action. Initial results by 15 Feb. Intent is to have ‘basic ICT consolidation plan’ for CEB, as part of Unified Services Roadmap. What makes this action go beyond existing HLCM initiatives, is the push for consolidation of ICT personnel (&gt;50% of total ICT cost).</t>
    </r>
  </si>
  <si>
    <r>
      <rPr>
        <b/>
        <sz val="11"/>
        <color theme="1"/>
        <rFont val="Aptos Narrow"/>
        <family val="2"/>
        <scheme val="minor"/>
      </rPr>
      <t xml:space="preserve">5 Feb:
</t>
    </r>
    <r>
      <rPr>
        <sz val="11"/>
        <color theme="1"/>
        <rFont val="Aptos Narrow"/>
        <family val="2"/>
        <scheme val="minor"/>
      </rPr>
      <t>- Ask Chief Information Officer ITU, Khuloud, to brief.
- How can the SG support this work?
- How will you work with HLCM on the Digital ID?</t>
    </r>
    <r>
      <rPr>
        <b/>
        <sz val="11"/>
        <color theme="1"/>
        <rFont val="Aptos Narrow"/>
        <family val="2"/>
        <scheme val="minor"/>
      </rPr>
      <t xml:space="preserve">
7 Jan:</t>
    </r>
    <r>
      <rPr>
        <sz val="11"/>
        <color theme="1"/>
        <rFont val="Aptos Narrow"/>
        <family val="2"/>
        <scheme val="minor"/>
      </rPr>
      <t xml:space="preserve">
- What are the high-impact use cases you envisage making part of the accelerator platform?
- Do you have a proposal package that the Steering Committee could endorse in February?
-------
- Have you mapped the delivery setups for each use case?</t>
    </r>
  </si>
  <si>
    <r>
      <t xml:space="preserve">5 Feb:
</t>
    </r>
    <r>
      <rPr>
        <sz val="11"/>
        <color theme="1"/>
        <rFont val="Aptos Narrow"/>
        <family val="2"/>
        <scheme val="minor"/>
      </rPr>
      <t xml:space="preserve">- Note: We have agreement on the first 3 use cases, including ‘Digital ID for Staff’ (accelerate existing HLCM work), and Digital ID for Humanitarian Beneficiaries (QUINT initiative). Key will be to bring these use cases to Steering Committee to ‘collect commitments’ and unblock resistance (e.g., Digital ID). </t>
    </r>
  </si>
  <si>
    <r>
      <rPr>
        <b/>
        <sz val="11"/>
        <color theme="1"/>
        <rFont val="Aptos Narrow"/>
        <family val="2"/>
        <scheme val="minor"/>
      </rPr>
      <t xml:space="preserve">14 Jan:
</t>
    </r>
    <r>
      <rPr>
        <sz val="11"/>
        <color theme="1"/>
        <rFont val="Aptos Narrow"/>
        <family val="2"/>
        <scheme val="minor"/>
      </rPr>
      <t>- How can the Steering Committee help? Note: Good to get USGs to ‘sign up’ to data sharing.
----
- What will be the difference between this and the current public platform?
- How many entities are going to be in the platform?
- What is the engagement plan?</t>
    </r>
  </si>
  <si>
    <r>
      <t xml:space="preserve">14 Jan:
</t>
    </r>
    <r>
      <rPr>
        <sz val="11"/>
        <color theme="1"/>
        <rFont val="Aptos Narrow"/>
        <family val="2"/>
        <scheme val="minor"/>
      </rPr>
      <t>- Note: This seems to progress well, with DESA showing flexibility and lead. This is an ‘external win’ if successful. Important to ‘hammer’ goal of a jointly owned (non-DESA exclusive) website, and 30+ entities contributing by GA.</t>
    </r>
  </si>
  <si>
    <r>
      <rPr>
        <b/>
        <sz val="11"/>
        <color theme="1"/>
        <rFont val="Aptos Narrow"/>
        <family val="2"/>
        <scheme val="minor"/>
      </rPr>
      <t>14 Jan:</t>
    </r>
    <r>
      <rPr>
        <sz val="11"/>
        <color theme="1"/>
        <rFont val="Aptos Narrow"/>
        <family val="2"/>
        <scheme val="minor"/>
      </rPr>
      <t xml:space="preserve">
- When can the SG expect to get the concept note?
- How can we use the SC to get leaders to commit to a sustainable jointly-owned programme / project?
</t>
    </r>
  </si>
  <si>
    <r>
      <t xml:space="preserve">14 Jan:
</t>
    </r>
    <r>
      <rPr>
        <sz val="11"/>
        <color theme="1"/>
        <rFont val="Aptos Narrow"/>
        <family val="2"/>
        <scheme val="minor"/>
      </rPr>
      <t>- Note: This is the key action for long-term change and sustainability. UNICEF prepared to lead formulation of project. Plan is to get leaders to ‘commit’.</t>
    </r>
  </si>
  <si>
    <r>
      <rPr>
        <b/>
        <sz val="11"/>
        <color theme="1"/>
        <rFont val="Aptos Narrow"/>
        <family val="2"/>
        <scheme val="minor"/>
      </rPr>
      <t xml:space="preserve">14 Jan:
</t>
    </r>
    <r>
      <rPr>
        <sz val="11"/>
        <color theme="1"/>
        <rFont val="Aptos Narrow"/>
        <family val="2"/>
        <scheme val="minor"/>
      </rPr>
      <t xml:space="preserve">- Beyond the immediate team for the data commons portal, what potential for a joint long-term team?
</t>
    </r>
  </si>
  <si>
    <r>
      <t xml:space="preserve">14 Jan:
</t>
    </r>
    <r>
      <rPr>
        <sz val="11"/>
        <color theme="1"/>
        <rFont val="Aptos Narrow"/>
        <family val="2"/>
        <scheme val="minor"/>
      </rPr>
      <t>- Note: For now, we have a low-ambition action focused on ‘team to help run the website’. There is also ‘joint knowledge hub’ potential, provided it’s system-wide, or anchored in the UN Chief Statistician Group. TBD.</t>
    </r>
  </si>
  <si>
    <r>
      <rPr>
        <b/>
        <sz val="11"/>
        <color theme="1"/>
        <rFont val="Aptos Narrow"/>
        <family val="2"/>
        <scheme val="minor"/>
      </rPr>
      <t xml:space="preserve">5 Feb:
</t>
    </r>
    <r>
      <rPr>
        <sz val="11"/>
        <color theme="1"/>
        <rFont val="Aptos Narrow"/>
        <family val="2"/>
        <scheme val="minor"/>
      </rPr>
      <t>- Can you share initial insights from your analysis of the ‘as is’ situation?
- How will you consult on preparing recommendations on the way forward?</t>
    </r>
    <r>
      <rPr>
        <b/>
        <sz val="11"/>
        <color theme="1"/>
        <rFont val="Aptos Narrow"/>
        <family val="2"/>
        <scheme val="minor"/>
      </rPr>
      <t xml:space="preserve">
7 Jan:
</t>
    </r>
    <r>
      <rPr>
        <sz val="11"/>
        <color theme="1"/>
        <rFont val="Aptos Narrow"/>
        <family val="2"/>
        <scheme val="minor"/>
      </rPr>
      <t xml:space="preserve">- Is everybody clear that the goal of this task is to lower the cost of pooled funding, i.e. the overhead from financial management and secretariat support?
- Do you have the data you need?
</t>
    </r>
  </si>
  <si>
    <r>
      <t xml:space="preserve">5 Feb:
</t>
    </r>
    <r>
      <rPr>
        <sz val="11"/>
        <color theme="1"/>
        <rFont val="Aptos Narrow"/>
        <family val="2"/>
        <scheme val="minor"/>
      </rPr>
      <t>- Note: Draft document has been shared with us, with a focus on documenting the ‘as is’ situation and preparing the ground for recommendations. The plan is to hold consultations in February, and eventually also share externally.</t>
    </r>
  </si>
  <si>
    <r>
      <rPr>
        <b/>
        <sz val="11"/>
        <color theme="1"/>
        <rFont val="Aptos Narrow"/>
        <family val="2"/>
        <scheme val="minor"/>
      </rPr>
      <t xml:space="preserve">5 Feb:
</t>
    </r>
    <r>
      <rPr>
        <sz val="11"/>
        <color theme="1"/>
        <rFont val="Aptos Narrow"/>
        <family val="2"/>
        <scheme val="minor"/>
      </rPr>
      <t>- At a basic level, are the PBF and CERF teams meeting regularly? If yes, does the SDG Fund team join sometimes? That’s where you need to start.</t>
    </r>
    <r>
      <rPr>
        <b/>
        <sz val="11"/>
        <color theme="1"/>
        <rFont val="Aptos Narrow"/>
        <family val="2"/>
        <scheme val="minor"/>
      </rPr>
      <t xml:space="preserve">
7 Jan:
</t>
    </r>
    <r>
      <rPr>
        <sz val="11"/>
        <color theme="1"/>
        <rFont val="Aptos Narrow"/>
        <family val="2"/>
        <scheme val="minor"/>
      </rPr>
      <t>- Is everybody clear on the scope of the ‘pooled fund rationalization’ task?
- What would success look like?</t>
    </r>
  </si>
  <si>
    <r>
      <t xml:space="preserve">5 Feb:
</t>
    </r>
    <r>
      <rPr>
        <sz val="11"/>
        <color theme="1"/>
        <rFont val="Aptos Narrow"/>
        <family val="2"/>
        <scheme val="minor"/>
      </rPr>
      <t>- Note: This will be confused / too broad in scope / unclear. At a minimum, the CERF, PBF and SDG Fund teams should meet every month. This is not happening, other than ad-hoc, and should be a core task.</t>
    </r>
  </si>
  <si>
    <r>
      <rPr>
        <b/>
        <sz val="11"/>
        <color theme="1"/>
        <rFont val="Aptos Narrow"/>
        <family val="2"/>
        <scheme val="minor"/>
      </rPr>
      <t xml:space="preserve">5 Feb:
</t>
    </r>
    <r>
      <rPr>
        <sz val="11"/>
        <color theme="1"/>
        <rFont val="Aptos Narrow"/>
        <family val="2"/>
        <scheme val="minor"/>
      </rPr>
      <t>- If at all: What are the next steps?</t>
    </r>
    <r>
      <rPr>
        <b/>
        <sz val="11"/>
        <color theme="1"/>
        <rFont val="Aptos Narrow"/>
        <family val="2"/>
        <scheme val="minor"/>
      </rPr>
      <t xml:space="preserve">
7 Jan:
</t>
    </r>
    <r>
      <rPr>
        <sz val="11"/>
        <color theme="1"/>
        <rFont val="Aptos Narrow"/>
        <family val="2"/>
        <scheme val="minor"/>
      </rPr>
      <t>- Is everybody clear that the goal of this task is to lower the cost of core funding, i.e. the overhead cost we charge contributors, so that core funding becomes cheaper than earmarked funding?
----
- How can the SG help push?</t>
    </r>
  </si>
  <si>
    <r>
      <t xml:space="preserve">5 Feb:
</t>
    </r>
    <r>
      <rPr>
        <sz val="11"/>
        <color theme="1"/>
        <rFont val="Aptos Narrow"/>
        <family val="2"/>
        <scheme val="minor"/>
      </rPr>
      <t>- Note: Same as action 76. Remember that Jens considers ‘core’ just a version of pooled funding. Just like for pooled funding, basic recommendations could be discussed at ECOSOC Operational Activities Segment (OAS) in June 2026. JP envisages that basic elements would go in the OAS resolution.</t>
    </r>
  </si>
  <si>
    <r>
      <rPr>
        <b/>
        <sz val="11"/>
        <color theme="1"/>
        <rFont val="Aptos Narrow"/>
        <family val="2"/>
        <scheme val="minor"/>
      </rPr>
      <t xml:space="preserve">5 Feb:
</t>
    </r>
    <r>
      <rPr>
        <sz val="11"/>
        <color theme="1"/>
        <rFont val="Aptos Narrow"/>
        <family val="2"/>
        <scheme val="minor"/>
      </rPr>
      <t>- Do you have a vision for how to prepare the ECOSOC Operational Segment discussions, push further than in prior years – on all funding-related issues? 
- How much do you intend to put in relevant SG reports for the Segment? 
- How will you link in the humanitarian piece on pooled funding in the Segment?</t>
    </r>
    <r>
      <rPr>
        <b/>
        <sz val="11"/>
        <color theme="1"/>
        <rFont val="Aptos Narrow"/>
        <family val="2"/>
        <scheme val="minor"/>
      </rPr>
      <t xml:space="preserve">
7 Jan:
</t>
    </r>
    <r>
      <rPr>
        <sz val="11"/>
        <color theme="1"/>
        <rFont val="Aptos Narrow"/>
        <family val="2"/>
        <scheme val="minor"/>
      </rPr>
      <t>- Do you have the mapping of Funding Compact reviews and dialogues?
- What are the next steps?
-----
- How can the SG help push?</t>
    </r>
  </si>
  <si>
    <r>
      <t xml:space="preserve">5 Feb:
</t>
    </r>
    <r>
      <rPr>
        <sz val="11"/>
        <color theme="1"/>
        <rFont val="Aptos Narrow"/>
        <family val="2"/>
        <scheme val="minor"/>
      </rPr>
      <t>- Note: Forecasted to be part of ECOSOC Operational Activities Segment (OAS) in June 2026.</t>
    </r>
  </si>
  <si>
    <r>
      <t xml:space="preserve">21 Jan:
</t>
    </r>
    <r>
      <rPr>
        <sz val="11"/>
        <color theme="1"/>
        <rFont val="Aptos Narrow"/>
        <family val="2"/>
        <scheme val="minor"/>
      </rPr>
      <t xml:space="preserve">- Ask the CDC if he can already outline a plan, acknowledging the complexity of the task. We can come back to this.
</t>
    </r>
  </si>
  <si>
    <r>
      <rPr>
        <b/>
        <sz val="11"/>
        <color theme="1"/>
        <rFont val="Aptos Narrow"/>
        <family val="2"/>
        <scheme val="minor"/>
      </rPr>
      <t>21 Jan:</t>
    </r>
    <r>
      <rPr>
        <sz val="11"/>
        <color theme="1"/>
        <rFont val="Aptos Narrow"/>
        <family val="2"/>
        <scheme val="minor"/>
      </rPr>
      <t xml:space="preserve">
- Note: This is the ‘most complex’ task we have, focused on the key ‘division of labour’ problem. No clear path forward, but a general commitment to run an assessment – for which there needs to be a TOR. The team is giving itself until end-March to figure out TOR, then assess. There are links to the UN80 resolution here, where co-chairs have taken up system-wide coordination. </t>
    </r>
  </si>
  <si>
    <r>
      <t>21 Jan:</t>
    </r>
    <r>
      <rPr>
        <sz val="11"/>
        <color theme="1"/>
        <rFont val="Aptos Narrow"/>
        <family val="2"/>
        <scheme val="minor"/>
      </rPr>
      <t xml:space="preserve">
- Ask how the SG can help reinforce progress, given the upcoming Steering Committee.
</t>
    </r>
  </si>
  <si>
    <r>
      <rPr>
        <b/>
        <sz val="11"/>
        <color theme="1"/>
        <rFont val="Aptos Narrow"/>
        <family val="2"/>
        <scheme val="minor"/>
      </rPr>
      <t>21 Jan:</t>
    </r>
    <r>
      <rPr>
        <sz val="11"/>
        <color theme="1"/>
        <rFont val="Aptos Narrow"/>
        <family val="2"/>
        <scheme val="minor"/>
      </rPr>
      <t xml:space="preserve">
- Note: This is progressing well. Additional guidance and a digital tool is going out from Chandru. We helped. There is no longer a need for a political message / memo from EOSG.</t>
    </r>
  </si>
  <si>
    <r>
      <t xml:space="preserve">21 Jan:
</t>
    </r>
    <r>
      <rPr>
        <sz val="11"/>
        <color theme="1"/>
        <rFont val="Aptos Narrow"/>
        <family val="2"/>
        <scheme val="minor"/>
      </rPr>
      <t xml:space="preserve">- Will the additional guidance also cover a review of the deliverables, such as reports?
- How can the SG or the Steering Committee help?
</t>
    </r>
  </si>
  <si>
    <r>
      <rPr>
        <b/>
        <sz val="11"/>
        <color theme="1"/>
        <rFont val="Aptos Narrow"/>
        <family val="2"/>
        <scheme val="minor"/>
      </rPr>
      <t xml:space="preserve">21 Jan:
</t>
    </r>
    <r>
      <rPr>
        <sz val="11"/>
        <color theme="1"/>
        <rFont val="Aptos Narrow"/>
        <family val="2"/>
        <scheme val="minor"/>
      </rPr>
      <t>- Note: This is progressing less well, because focus has been on mandates. Not clear that there would be additional guidance or significant change. This needs senior follow-up. Merging reports is an area of possible progress.</t>
    </r>
  </si>
  <si>
    <r>
      <t xml:space="preserve">21 Jan:
</t>
    </r>
    <r>
      <rPr>
        <sz val="11"/>
        <color theme="1"/>
        <rFont val="Aptos Narrow"/>
        <family val="2"/>
        <scheme val="minor"/>
      </rPr>
      <t>- Note: At conceptual level, this is progressing OK. The language on results management is now also in the UN80 draft resolution. Challenge is ensuring or locking-in tangible long-term progress in 2026.</t>
    </r>
  </si>
  <si>
    <r>
      <rPr>
        <b/>
        <sz val="11"/>
        <color theme="1"/>
        <rFont val="Aptos Narrow"/>
        <family val="2"/>
        <scheme val="minor"/>
      </rPr>
      <t xml:space="preserve">21 Jan:
</t>
    </r>
    <r>
      <rPr>
        <sz val="11"/>
        <color theme="1"/>
        <rFont val="Aptos Narrow"/>
        <family val="2"/>
        <scheme val="minor"/>
      </rPr>
      <t>- [To CDC or Movses] Could you share the outlook on word limits, or potential across-the-board haircuts?
- Will this be ready for the SteerCo in February to update other Principals?</t>
    </r>
  </si>
  <si>
    <r>
      <t xml:space="preserve">21 Jan:
</t>
    </r>
    <r>
      <rPr>
        <sz val="11"/>
        <color theme="1"/>
        <rFont val="Aptos Narrow"/>
        <family val="2"/>
        <scheme val="minor"/>
      </rPr>
      <t>- Note: As a result of liquidity constraints, DGACM has already been planning an additional ‘across-the-board’ haircut on word limits. Gets us progress, even if not deliberate.</t>
    </r>
  </si>
  <si>
    <r>
      <t xml:space="preserve">21 Jan:
</t>
    </r>
    <r>
      <rPr>
        <sz val="11"/>
        <color theme="1"/>
        <rFont val="Aptos Narrow"/>
        <family val="2"/>
        <scheme val="minor"/>
      </rPr>
      <t xml:space="preserve">- If we were to consolidate reports, could we still change any of the deliverable lists in the 2027 budget on time, i.e. reduce the number of deliverables?
</t>
    </r>
  </si>
  <si>
    <r>
      <rPr>
        <b/>
        <sz val="11"/>
        <color theme="1"/>
        <rFont val="Aptos Narrow"/>
        <family val="2"/>
        <scheme val="minor"/>
      </rPr>
      <t xml:space="preserve">21 Jan:
</t>
    </r>
    <r>
      <rPr>
        <sz val="11"/>
        <color theme="1"/>
        <rFont val="Aptos Narrow"/>
        <family val="2"/>
        <scheme val="minor"/>
      </rPr>
      <t>- Note: We are preparing a digital survey to gather entity inputs on potential report consolidation. Next steps after analysis are ‘to be determined’, but if we consolidate we would need to make changes to deliverables in the 2027 budget before end-March.</t>
    </r>
  </si>
  <si>
    <r>
      <t xml:space="preserve">21 Jan:
</t>
    </r>
    <r>
      <rPr>
        <sz val="11"/>
        <color theme="1"/>
        <rFont val="Aptos Narrow"/>
        <family val="2"/>
        <scheme val="minor"/>
      </rPr>
      <t xml:space="preserve">- [To Movses] Any view on how likely the paragraph regarding this action on the draft resolution will be adopted?
</t>
    </r>
  </si>
  <si>
    <r>
      <t xml:space="preserve">21 Jan:
</t>
    </r>
    <r>
      <rPr>
        <sz val="11"/>
        <color theme="1"/>
        <rFont val="Aptos Narrow"/>
        <family val="2"/>
        <scheme val="minor"/>
      </rPr>
      <t>- Note: The idea of developing shorter and more modern reporting formats has encountered resistance at Director level from all departments. Quick SG guidance will be needed soon.</t>
    </r>
  </si>
  <si>
    <r>
      <rPr>
        <b/>
        <sz val="11"/>
        <color theme="1"/>
        <rFont val="Aptos Narrow"/>
        <family val="2"/>
        <scheme val="minor"/>
      </rPr>
      <t xml:space="preserve">6 Feb:
</t>
    </r>
    <r>
      <rPr>
        <sz val="11"/>
        <color theme="1"/>
        <rFont val="Aptos Narrow"/>
        <family val="2"/>
        <scheme val="minor"/>
      </rPr>
      <t xml:space="preserve">- Do you have any endorsement from UNU Council? Decision or something?
- What's the intermediate milestones until March 26?
</t>
    </r>
    <r>
      <rPr>
        <b/>
        <sz val="11"/>
        <color theme="1"/>
        <rFont val="Aptos Narrow"/>
        <family val="2"/>
        <scheme val="minor"/>
      </rPr>
      <t xml:space="preserve">
14 Jan:</t>
    </r>
    <r>
      <rPr>
        <sz val="11"/>
        <color theme="1"/>
        <rFont val="Aptos Narrow"/>
        <family val="2"/>
        <scheme val="minor"/>
      </rPr>
      <t xml:space="preserve">
- Did UNU Council endorse the UN80 recommendations? 
- What are the next steps?
- To UNU / OLA: How are you progressing in planning the legislative actions?
</t>
    </r>
  </si>
  <si>
    <r>
      <t xml:space="preserve">6 Feb:
</t>
    </r>
    <r>
      <rPr>
        <sz val="11"/>
        <color theme="1"/>
        <rFont val="Aptos Narrow"/>
        <family val="2"/>
        <scheme val="minor"/>
      </rPr>
      <t>- Deliverable with intermediate milestones submitted</t>
    </r>
    <r>
      <rPr>
        <b/>
        <sz val="11"/>
        <color theme="1"/>
        <rFont val="Aptos Narrow"/>
        <family val="2"/>
        <scheme val="minor"/>
      </rPr>
      <t xml:space="preserve">
14 Jan:
</t>
    </r>
    <r>
      <rPr>
        <sz val="11"/>
        <color theme="1"/>
        <rFont val="Aptos Narrow"/>
        <family val="2"/>
        <scheme val="minor"/>
      </rPr>
      <t>- Note: This seems to progress less well. Scope unclear.</t>
    </r>
  </si>
  <si>
    <r>
      <rPr>
        <b/>
        <sz val="11"/>
        <color theme="1"/>
        <rFont val="Aptos Narrow"/>
        <family val="2"/>
        <scheme val="minor"/>
      </rPr>
      <t xml:space="preserve">6 Feb:
</t>
    </r>
    <r>
      <rPr>
        <sz val="11"/>
        <color theme="1"/>
        <rFont val="Aptos Narrow"/>
        <family val="2"/>
        <scheme val="minor"/>
      </rPr>
      <t>- How do you divide role between UNITAR and UNU? What's the update?
- Do we need a separate check-in together with them?
- How is the knowledge mapping different with WP7?
- The 1st deliverable mentioned coordination with WPs 7 and 8, has it been done? What's the result? Alignment in SC needed or not?</t>
    </r>
    <r>
      <rPr>
        <b/>
        <sz val="11"/>
        <color theme="1"/>
        <rFont val="Aptos Narrow"/>
        <family val="2"/>
        <scheme val="minor"/>
      </rPr>
      <t xml:space="preserve">
14 Jan:
</t>
    </r>
    <r>
      <rPr>
        <sz val="11"/>
        <color theme="1"/>
        <rFont val="Aptos Narrow"/>
        <family val="2"/>
        <scheme val="minor"/>
      </rPr>
      <t xml:space="preserve">- What is the scope of the Joint Coordination Mechanism?
- Do you have all entities mapped out as members of this action/mechanism?
</t>
    </r>
  </si>
  <si>
    <r>
      <rPr>
        <b/>
        <sz val="11"/>
        <color theme="1"/>
        <rFont val="Aptos Narrow"/>
        <family val="2"/>
        <scheme val="minor"/>
      </rPr>
      <t xml:space="preserve">6 Feb:
</t>
    </r>
    <r>
      <rPr>
        <sz val="11"/>
        <color theme="1"/>
        <rFont val="Aptos Narrow"/>
        <family val="2"/>
        <scheme val="minor"/>
      </rPr>
      <t>- Following convo with OLA, any plans to engage MS on who can champion report and advance draft resolutions?
- Would the ED be comfortable laying out plans of intergovt engagement during 27 Feb briefing, incl. whether to engage ECOSOC or not?</t>
    </r>
    <r>
      <rPr>
        <b/>
        <sz val="11"/>
        <color theme="1"/>
        <rFont val="Aptos Narrow"/>
        <family val="2"/>
        <scheme val="minor"/>
      </rPr>
      <t xml:space="preserve">
14 Jan:</t>
    </r>
    <r>
      <rPr>
        <sz val="11"/>
        <color theme="1"/>
        <rFont val="Aptos Narrow"/>
        <family val="2"/>
        <scheme val="minor"/>
      </rPr>
      <t xml:space="preserve">
- Since a GA decision is needed for the merger, what is the pathway to get one?
- (To Movses) What would be the best procedural pathway (agenda, format (letter/note/report)) to bring the merger proposal from the SG? 
- Will June be too late for SG to submit proposal to the ECOSOC/GA?
- In general: This points to the importance of ‘mapping legislative pathways’ for all actions with inter-governmental implications, with OLA and DGACM as key.
</t>
    </r>
  </si>
  <si>
    <r>
      <t xml:space="preserve">6 Feb:
</t>
    </r>
    <r>
      <rPr>
        <sz val="11"/>
        <color theme="1"/>
        <rFont val="Aptos Narrow"/>
        <family val="2"/>
        <scheme val="minor"/>
      </rPr>
      <t>- Mention UNITAR building
- Mention that if report can be presented in June with clear sponsor and draft resolution -- resolution/decision can be out in 80th session (preferred)
- Deliverable submitted</t>
    </r>
    <r>
      <rPr>
        <b/>
        <sz val="11"/>
        <color theme="1"/>
        <rFont val="Aptos Narrow"/>
        <family val="2"/>
        <scheme val="minor"/>
      </rPr>
      <t xml:space="preserve">
14 Jan:
</t>
    </r>
    <r>
      <rPr>
        <sz val="11"/>
        <color theme="1"/>
        <rFont val="Aptos Narrow"/>
        <family val="2"/>
        <scheme val="minor"/>
      </rPr>
      <t>- Note: UNITAR leadership seems very invested in the success and this seems to progress well. Key question is the ‘legislative pathway’ to a GA decision in a year without an agenda item on ‘training and research’</t>
    </r>
  </si>
  <si>
    <r>
      <t xml:space="preserve">6 Feb:
</t>
    </r>
    <r>
      <rPr>
        <sz val="11"/>
        <color theme="1"/>
        <rFont val="Aptos Narrow"/>
        <family val="2"/>
        <scheme val="minor"/>
      </rPr>
      <t xml:space="preserve">- Deliverable (concept note) not submitted -- Guenther asked for extension for 20 Feb
- Mention the plan to include Joint Knowledge Hubs for SC and GA briefing </t>
    </r>
    <r>
      <rPr>
        <b/>
        <sz val="11"/>
        <color theme="1"/>
        <rFont val="Aptos Narrow"/>
        <family val="2"/>
        <scheme val="minor"/>
      </rPr>
      <t xml:space="preserve">
14 Jan:
</t>
    </r>
    <r>
      <rPr>
        <sz val="11"/>
        <color theme="1"/>
        <rFont val="Aptos Narrow"/>
        <family val="2"/>
        <scheme val="minor"/>
      </rPr>
      <t xml:space="preserve">- Note: This risks moving too slowly, ‘miss the boat for 2027’. Important to prioritize and sequence. </t>
    </r>
  </si>
  <si>
    <r>
      <rPr>
        <b/>
        <sz val="11"/>
        <color theme="1"/>
        <rFont val="Aptos Narrow"/>
        <family val="2"/>
        <scheme val="minor"/>
      </rPr>
      <t xml:space="preserve">6 Feb:
</t>
    </r>
    <r>
      <rPr>
        <sz val="11"/>
        <color theme="1"/>
        <rFont val="Aptos Narrow"/>
        <family val="2"/>
        <scheme val="minor"/>
      </rPr>
      <t>- Any update from 5 Feb meeting? Indication of concept note endorsement?
- Could this be brought to SC 25 Feb? Or GA briefing 27 Feb?
- Any indication that what's in the concept note to be included in PPB 2027 programme (not budget)?
- From last TF meeting, did you get in touch with WP8? 
- Rebeca Grynspan mentioned that WP7 need more discussion with WP8 -- difference in scope: Hubs on policy. EOD on existing support in country. Hubs: joint policy advice, knowledge product. EOD service packages, tech support. Hubs long-term coherence, knowledge infra, MS needs. EOD demand-driven opertional support system</t>
    </r>
    <r>
      <rPr>
        <b/>
        <sz val="11"/>
        <color theme="1"/>
        <rFont val="Aptos Narrow"/>
        <family val="2"/>
        <scheme val="minor"/>
      </rPr>
      <t xml:space="preserve">
14 Jan:
</t>
    </r>
    <r>
      <rPr>
        <sz val="11"/>
        <color theme="1"/>
        <rFont val="Aptos Narrow"/>
        <family val="2"/>
        <scheme val="minor"/>
      </rPr>
      <t xml:space="preserve">- Can you share your draft concept note prior to the Steering Committee and first results of your survey of entities? The SG can help guide the way forward.
- Out of 12 potential thematic Hubs under discussion, which ones have broadest support? Let’s prioritize.
- How do you intend to signal the joint hubs in the budget 2027? Programme plans are due in January / February.
</t>
    </r>
  </si>
  <si>
    <t>Questions</t>
  </si>
  <si>
    <t xml:space="preserve">Action </t>
  </si>
  <si>
    <t>Action Number</t>
  </si>
  <si>
    <r>
      <rPr>
        <b/>
        <sz val="11"/>
        <color theme="1"/>
        <rFont val="Aptos Narrow"/>
        <family val="2"/>
        <scheme val="minor"/>
      </rPr>
      <t>5 Feb:
Andrew:</t>
    </r>
    <r>
      <rPr>
        <sz val="11"/>
        <color theme="1"/>
        <rFont val="Aptos Narrow"/>
        <family val="2"/>
        <scheme val="minor"/>
      </rPr>
      <t xml:space="preserve">
- Launched self-starter kit -- voluntary basis (APAC PH want to start)
- Shared in ASG meeting -- high-impact target countries
- No new CBOs in 5 years 
- Q2 2 brand new CBOs: Pakistan, Zimbabwe
- Problem: opting out, integrate CBOs in BIG and Hum Compact
- Interagency Task Force ready in February to look at the problem of operationalizing mutual recognition -- ~100% devment system -- </t>
    </r>
    <r>
      <rPr>
        <b/>
        <sz val="11"/>
        <color theme="1"/>
        <rFont val="Aptos Narrow"/>
        <family val="2"/>
        <scheme val="minor"/>
      </rPr>
      <t xml:space="preserve">blockage usually on legal and compliance sp asking OLA to join
</t>
    </r>
    <r>
      <rPr>
        <sz val="11"/>
        <color theme="1"/>
        <rFont val="Aptos Narrow"/>
        <family val="2"/>
        <scheme val="minor"/>
      </rPr>
      <t xml:space="preserve">- Talked with Kersten -- closer look in cost on how to do biz in the country
</t>
    </r>
    <r>
      <rPr>
        <b/>
        <sz val="11"/>
        <color theme="1"/>
        <rFont val="Aptos Narrow"/>
        <family val="2"/>
        <scheme val="minor"/>
      </rPr>
      <t>Elinor:
- Happy to engage
Oscar:</t>
    </r>
    <r>
      <rPr>
        <sz val="11"/>
        <color theme="1"/>
        <rFont val="Aptos Narrow"/>
        <family val="2"/>
        <scheme val="minor"/>
      </rPr>
      <t xml:space="preserve">
- Target: 50 CBOs by 2030</t>
    </r>
    <r>
      <rPr>
        <b/>
        <sz val="11"/>
        <color theme="1"/>
        <rFont val="Aptos Narrow"/>
        <family val="2"/>
        <scheme val="minor"/>
      </rPr>
      <t xml:space="preserve">
7 Jan:</t>
    </r>
    <r>
      <rPr>
        <sz val="11"/>
        <color theme="1"/>
        <rFont val="Aptos Narrow"/>
        <family val="2"/>
        <scheme val="minor"/>
      </rPr>
      <t xml:space="preserve">
- </t>
    </r>
    <r>
      <rPr>
        <b/>
        <sz val="11"/>
        <color theme="1"/>
        <rFont val="Aptos Narrow"/>
        <family val="2"/>
        <scheme val="minor"/>
      </rPr>
      <t>Catherine</t>
    </r>
    <r>
      <rPr>
        <sz val="11"/>
        <color theme="1"/>
        <rFont val="Aptos Narrow"/>
        <family val="2"/>
        <scheme val="minor"/>
      </rPr>
      <t xml:space="preserve">:
-- Led by DOS, WFP, UNICEF -- Hum Compact starting point
-- Coordinated by WP2 -- with OCHA
-- Category mgmt continuing -- health commodity, shelter management
- </t>
    </r>
    <r>
      <rPr>
        <b/>
        <sz val="11"/>
        <color theme="1"/>
        <rFont val="Aptos Narrow"/>
        <family val="2"/>
        <scheme val="minor"/>
      </rPr>
      <t>Hansjoerg</t>
    </r>
    <r>
      <rPr>
        <sz val="11"/>
        <color theme="1"/>
        <rFont val="Aptos Narrow"/>
        <family val="2"/>
        <scheme val="minor"/>
      </rPr>
      <t xml:space="preserve">:
-- OCHA conscious on supply chain risk
-- Joined-up planning in Gaza has shown effectiveness gain
-- AFPs not have restrictions as P/K
- </t>
    </r>
    <r>
      <rPr>
        <b/>
        <sz val="11"/>
        <color theme="1"/>
        <rFont val="Aptos Narrow"/>
        <family val="2"/>
        <scheme val="minor"/>
      </rPr>
      <t>Carl</t>
    </r>
    <r>
      <rPr>
        <sz val="11"/>
        <color theme="1"/>
        <rFont val="Aptos Narrow"/>
        <family val="2"/>
        <scheme val="minor"/>
      </rPr>
      <t>:
-- Acknolwedge Catherine's risk
-- No option but to take actions, esp in 5 contexts
-- Donor group strong support
-- Board colleagues strong support</t>
    </r>
  </si>
  <si>
    <r>
      <t xml:space="preserve">6 Feb:
Guenther:
</t>
    </r>
    <r>
      <rPr>
        <sz val="11"/>
        <color theme="1"/>
        <rFont val="Aptos Narrow"/>
        <family val="2"/>
        <scheme val="minor"/>
      </rPr>
      <t xml:space="preserve">- Survey ends up getting 22 hubs
- Met and concluded where entities select 3 knowledge hubs via survey one more round -- DESA, UNCTAD will recommend to USG
- Hub could work if done long-term -- past Sep
</t>
    </r>
    <r>
      <rPr>
        <b/>
        <sz val="11"/>
        <color theme="1"/>
        <rFont val="Aptos Narrow"/>
        <family val="2"/>
        <scheme val="minor"/>
      </rPr>
      <t>Carlos:</t>
    </r>
    <r>
      <rPr>
        <sz val="11"/>
        <color theme="1"/>
        <rFont val="Aptos Narrow"/>
        <family val="2"/>
        <scheme val="minor"/>
      </rPr>
      <t xml:space="preserve">
- Mechanism duplication, complementarity -- for hubs that can't make it to pilot, we will include other hubs
- DESA, UNCTAD ready with presentation -- results of 1st survey -- going to 2nd round -- will be shared with us
- Output of every Hub depends on each Hub
- Bring up on Task Force and SC how WPs 7 and 8 relate and differ from each other
</t>
    </r>
    <r>
      <rPr>
        <b/>
        <sz val="11"/>
        <color theme="1"/>
        <rFont val="Aptos Narrow"/>
        <family val="2"/>
        <scheme val="minor"/>
      </rPr>
      <t>Wai Min:</t>
    </r>
    <r>
      <rPr>
        <sz val="11"/>
        <color theme="1"/>
        <rFont val="Aptos Narrow"/>
        <family val="2"/>
        <scheme val="minor"/>
      </rPr>
      <t xml:space="preserve">
- Plan for pilot need to be operational/functional earliest before CEB - July will be the timeline to do 1st evaluation - Sep 1st reporting
- Decision of which pilot rest with 2 USGs -- to achieve milestone, not for importance</t>
    </r>
    <r>
      <rPr>
        <b/>
        <sz val="11"/>
        <color theme="1"/>
        <rFont val="Aptos Narrow"/>
        <family val="2"/>
        <scheme val="minor"/>
      </rPr>
      <t xml:space="preserve">
KJ/PU:
</t>
    </r>
    <r>
      <rPr>
        <sz val="11"/>
        <color theme="1"/>
        <rFont val="Aptos Narrow"/>
        <family val="2"/>
        <scheme val="minor"/>
      </rPr>
      <t xml:space="preserve">- Remind about including PPB2027 -- introduce joint, collaborative, hub -- flag diff entities work in new ways (strategy, external factors, activities)
- 
</t>
    </r>
    <r>
      <rPr>
        <b/>
        <sz val="11"/>
        <color theme="1"/>
        <rFont val="Aptos Narrow"/>
        <family val="2"/>
        <scheme val="minor"/>
      </rPr>
      <t xml:space="preserve">
9 Jan:
Carlos:</t>
    </r>
    <r>
      <rPr>
        <sz val="11"/>
        <color theme="1"/>
        <rFont val="Aptos Narrow"/>
        <family val="2"/>
        <scheme val="minor"/>
      </rPr>
      <t xml:space="preserve">
- 1st meeting happened already with 20entities; identify proposals
- Now trying to survey - common interest of topics, other mechanisms that might be overlapping with Hubs (e.g., proposal of critical minerals in 6mos alrd -- DSG launch TF on critical minerals, innovation, SSD)
- Deadline survey 16 Jan -- result processing in a week
</t>
    </r>
    <r>
      <rPr>
        <b/>
        <sz val="11"/>
        <color theme="1"/>
        <rFont val="Aptos Narrow"/>
        <family val="2"/>
        <scheme val="minor"/>
      </rPr>
      <t>Wai Min:</t>
    </r>
    <r>
      <rPr>
        <sz val="11"/>
        <color theme="1"/>
        <rFont val="Aptos Narrow"/>
        <family val="2"/>
        <scheme val="minor"/>
      </rPr>
      <t xml:space="preserve">
- Initial concept note drafted already -- 12 suggested Hubs
- Colleagues also mentioned linking this with WP8 -- ITU/UNDP join 1st group call; have group on working-level -- to avoid duplication
- Broad interest from special agencies -- how we can send clear messaging how these 2 are linked
</t>
    </r>
    <r>
      <rPr>
        <b/>
        <sz val="11"/>
        <color theme="1"/>
        <rFont val="Aptos Narrow"/>
        <family val="2"/>
        <scheme val="minor"/>
      </rPr>
      <t>Wai Min/Carlos:</t>
    </r>
    <r>
      <rPr>
        <sz val="11"/>
        <color theme="1"/>
        <rFont val="Aptos Narrow"/>
        <family val="2"/>
        <scheme val="minor"/>
      </rPr>
      <t xml:space="preserve">
- Concept note likely endorsed after end of Jan
- Depending on survey results
</t>
    </r>
    <r>
      <rPr>
        <b/>
        <sz val="11"/>
        <color theme="1"/>
        <rFont val="Aptos Narrow"/>
        <family val="2"/>
        <scheme val="minor"/>
      </rPr>
      <t>Wai Min:</t>
    </r>
    <r>
      <rPr>
        <sz val="11"/>
        <color theme="1"/>
        <rFont val="Aptos Narrow"/>
        <family val="2"/>
        <scheme val="minor"/>
      </rPr>
      <t xml:space="preserve">
- Final milestone: could be pilot/proof of concept
</t>
    </r>
    <r>
      <rPr>
        <b/>
        <sz val="11"/>
        <color theme="1"/>
        <rFont val="Aptos Narrow"/>
        <family val="2"/>
        <scheme val="minor"/>
      </rPr>
      <t>Carlos:
- Look at ecosystem of each Hub to decide which to launch first</t>
    </r>
  </si>
  <si>
    <r>
      <rPr>
        <b/>
        <sz val="11"/>
        <color theme="1"/>
        <rFont val="Aptos Narrow"/>
        <family val="2"/>
        <scheme val="minor"/>
      </rPr>
      <t xml:space="preserve">9 Feb:
</t>
    </r>
    <r>
      <rPr>
        <sz val="11"/>
        <color theme="1"/>
        <rFont val="Aptos Narrow"/>
        <family val="2"/>
        <scheme val="minor"/>
      </rPr>
      <t>- Remind: milestone submission ahead of tomorrow 10 Feb meeting of Principals
- Remind: PPB 2027 language with OPPFB guidance (share link and language on UN80)
- Remind: report survey -- anything you can add on top of what you submitted to CDC</t>
    </r>
  </si>
  <si>
    <r>
      <t xml:space="preserve">9 Feb:
</t>
    </r>
    <r>
      <rPr>
        <sz val="11"/>
        <color theme="1"/>
        <rFont val="Aptos Narrow"/>
        <family val="2"/>
        <scheme val="minor"/>
      </rPr>
      <t>- Any updates on components from RECs?
- Any support needed from SG?
- Last check-in you mentioned concept note, any updates on that? Also a paper on macroecons - is that ready to share during Tue meeting with USG?
- Any updates on engagement with OHRLLS?</t>
    </r>
  </si>
  <si>
    <r>
      <rPr>
        <b/>
        <sz val="11"/>
        <color theme="1"/>
        <rFont val="Aptos Narrow"/>
        <family val="2"/>
        <scheme val="minor"/>
      </rPr>
      <t>6 Feb:
Francesco:</t>
    </r>
    <r>
      <rPr>
        <sz val="11"/>
        <color theme="1"/>
        <rFont val="Aptos Narrow"/>
        <family val="2"/>
        <scheme val="minor"/>
      </rPr>
      <t xml:space="preserve">
- Rector nominated to Vice Rector
- Integration doesn’t involve GA -- easier for us -- complicated in administrative
- OLA scheduled for next week: 1) board UNRISD 2) board of UNU -- host country agreement (in Bonn)
- No need for Geneva -- under UNOG
- UNU and UNRISD don't have from UN Sec
- UNU's relationship with GA committees: no relationship with C2
- ACABQ connection
- UNU report to GA, Board of UNESCO, ECOSOC -- UNRISD report to ECOSOC (CSD)
- UNRISD want to keep reporting to that commission, considering UNU reporting to ECOSOC, we might be ok
- SG in Board UNRISD -- no have last say -- respective CHairs alrd spoke
- UNRISD Board hasn't taken decision -- but they'll need to
- Azita is the Board Chair UNRISD 
</t>
    </r>
    <r>
      <rPr>
        <b/>
        <sz val="11"/>
        <color theme="1"/>
        <rFont val="Aptos Narrow"/>
        <family val="2"/>
        <scheme val="minor"/>
      </rPr>
      <t xml:space="preserve">KJ: </t>
    </r>
    <r>
      <rPr>
        <sz val="11"/>
        <color theme="1"/>
        <rFont val="Aptos Narrow"/>
        <family val="2"/>
        <scheme val="minor"/>
      </rPr>
      <t xml:space="preserve">Maybe USG can talk to Azita
</t>
    </r>
    <r>
      <rPr>
        <b/>
        <sz val="11"/>
        <color theme="1"/>
        <rFont val="Aptos Narrow"/>
        <family val="2"/>
        <scheme val="minor"/>
      </rPr>
      <t>Francesco:</t>
    </r>
    <r>
      <rPr>
        <sz val="11"/>
        <color theme="1"/>
        <rFont val="Aptos Narrow"/>
        <family val="2"/>
        <scheme val="minor"/>
      </rPr>
      <t xml:space="preserve">
- Rector will brief -- </t>
    </r>
    <r>
      <rPr>
        <b/>
        <sz val="11"/>
        <color theme="1"/>
        <rFont val="Aptos Narrow"/>
        <family val="2"/>
        <scheme val="minor"/>
      </rPr>
      <t xml:space="preserve">need to adjust time
</t>
    </r>
    <r>
      <rPr>
        <sz val="11"/>
        <color theme="1"/>
        <rFont val="Aptos Narrow"/>
        <family val="2"/>
        <scheme val="minor"/>
      </rPr>
      <t>- Prep call with Rector: morning time Tokyo preferred</t>
    </r>
    <r>
      <rPr>
        <b/>
        <sz val="11"/>
        <color theme="1"/>
        <rFont val="Aptos Narrow"/>
        <family val="2"/>
        <scheme val="minor"/>
      </rPr>
      <t xml:space="preserve">
19 Dec:
Sabine
</t>
    </r>
    <r>
      <rPr>
        <sz val="11"/>
        <color theme="1"/>
        <rFont val="Aptos Narrow"/>
        <family val="2"/>
        <scheme val="minor"/>
      </rPr>
      <t>- UNU Council not have MS; SG is in the council
- UNRISD: CSD in ECOSOC; have GA resolutions re hosting and don't want to lose this statute</t>
    </r>
  </si>
  <si>
    <r>
      <rPr>
        <b/>
        <sz val="11"/>
        <color theme="1"/>
        <rFont val="Aptos Narrow"/>
        <family val="2"/>
        <scheme val="minor"/>
      </rPr>
      <t xml:space="preserve">9 Feb:
Jonas:
</t>
    </r>
    <r>
      <rPr>
        <sz val="11"/>
        <color theme="1"/>
        <rFont val="Aptos Narrow"/>
        <family val="2"/>
        <scheme val="minor"/>
      </rPr>
      <t xml:space="preserve">- How to keep statute if new name, or merge of UNSSC to UNITAR
- Rough estimate from 30 June -- turnaround time
- GA80 vs. GA81 -- bcs now the plan is GA81
- In SteerCo to get advice from SG whether it's before or after Board
- Who can help in substance for what to be in the report?
</t>
    </r>
    <r>
      <rPr>
        <b/>
        <sz val="11"/>
        <color theme="1"/>
        <rFont val="Aptos Narrow"/>
        <family val="2"/>
        <scheme val="minor"/>
      </rPr>
      <t xml:space="preserve">OLA:
</t>
    </r>
    <r>
      <rPr>
        <sz val="11"/>
        <color theme="1"/>
        <rFont val="Aptos Narrow"/>
        <family val="2"/>
        <scheme val="minor"/>
      </rPr>
      <t xml:space="preserve">- GA can ammend or terminate statute -- no matter the merge / new entity -- decision depends on substantive report later
- No need for ECOSOC decision for GA to do anything
- SG decision: before or after Board -- DSG and CDC chairs of Board
</t>
    </r>
    <r>
      <rPr>
        <b/>
        <sz val="11"/>
        <color theme="1"/>
        <rFont val="Aptos Narrow"/>
        <family val="2"/>
        <scheme val="minor"/>
      </rPr>
      <t xml:space="preserve">Wannes:
</t>
    </r>
    <r>
      <rPr>
        <sz val="11"/>
        <color theme="1"/>
        <rFont val="Aptos Narrow"/>
        <family val="2"/>
        <scheme val="minor"/>
      </rPr>
      <t xml:space="preserve">- Keep the procedure light -- the lighter it is the smoother it is 
- Consult DMSPC -- how to implement this down the road -- this could help on report writing
- DGACM will suggest production timeline once dates are set -- he can estimate once this timeline is done
- If to be acted on during GA80, you'd have to work towards having a </t>
    </r>
    <r>
      <rPr>
        <b/>
        <sz val="11"/>
        <color theme="1"/>
        <rFont val="Aptos Narrow"/>
        <family val="2"/>
        <scheme val="minor"/>
      </rPr>
      <t>GA proposal on the table</t>
    </r>
    <r>
      <rPr>
        <sz val="11"/>
        <color theme="1"/>
        <rFont val="Aptos Narrow"/>
        <family val="2"/>
        <scheme val="minor"/>
      </rPr>
      <t xml:space="preserve"> (issued in languages) by mid August -- 15 Aug
- For GA proposal: who will own? PGA? Recommended by MS or groups of MS?
- The 81st sess of the GA starts on 9 Sept; the general debate/high-level week starts on 22 Sept
- Point of consideration: PGA might say this is too hot for this -- might appoint co-facs
- One report from Board, SG, GA
- Resolution/decision should say endorse the report -- or the Board decision
</t>
    </r>
    <r>
      <rPr>
        <b/>
        <sz val="11"/>
        <color theme="1"/>
        <rFont val="Aptos Narrow"/>
        <family val="2"/>
        <scheme val="minor"/>
      </rPr>
      <t xml:space="preserve">KJ:
</t>
    </r>
    <r>
      <rPr>
        <sz val="11"/>
        <color theme="1"/>
        <rFont val="Aptos Narrow"/>
        <family val="2"/>
        <scheme val="minor"/>
      </rPr>
      <t xml:space="preserve">- We want decision before HLW (22 Sep 2026) -- UNGA81 starts 8 Sep
</t>
    </r>
    <r>
      <rPr>
        <b/>
        <sz val="11"/>
        <color theme="1"/>
        <rFont val="Aptos Narrow"/>
        <family val="2"/>
        <scheme val="minor"/>
      </rPr>
      <t xml:space="preserve">MR:
</t>
    </r>
    <r>
      <rPr>
        <sz val="11"/>
        <color theme="1"/>
        <rFont val="Aptos Narrow"/>
        <family val="2"/>
        <scheme val="minor"/>
      </rPr>
      <t xml:space="preserve">- USG Ryder can raise in any moment (not just in SteerCo) for SG sign-off
</t>
    </r>
    <r>
      <rPr>
        <b/>
        <sz val="11"/>
        <color theme="1"/>
        <rFont val="Aptos Narrow"/>
        <family val="2"/>
        <scheme val="minor"/>
      </rPr>
      <t>- If PGA, this PGA could be strong supporter
6 Feb:
Jonas:</t>
    </r>
    <r>
      <rPr>
        <sz val="11"/>
        <color theme="1"/>
        <rFont val="Aptos Narrow"/>
        <family val="2"/>
        <scheme val="minor"/>
      </rPr>
      <t xml:space="preserve">
</t>
    </r>
    <r>
      <rPr>
        <sz val="11"/>
        <rFont val="Aptos Narrow"/>
        <family val="2"/>
        <scheme val="minor"/>
      </rPr>
      <t xml:space="preserve">- Purchase order (Deloitte) for merger (50-50 cost sharing with UNSSC)
- Jonas will send responses to us -- SG has authority to go to GA directly
- Want to ask DGACM for scheduling
</t>
    </r>
    <r>
      <rPr>
        <b/>
        <sz val="11"/>
        <rFont val="Aptos Narrow"/>
        <family val="2"/>
        <scheme val="minor"/>
      </rPr>
      <t>KJ:</t>
    </r>
    <r>
      <rPr>
        <sz val="11"/>
        <rFont val="Aptos Narrow"/>
        <family val="2"/>
        <scheme val="minor"/>
      </rPr>
      <t xml:space="preserve">
- Legal, procedural, political -- ECOSOC opportunity not to discount that
- For Task Force, flow chart with the planned engagement
- Articulating the case for the merger (1-5 bullets)
- Deloitte -- focus on making the case so decision comes out
- Why merger makes sense: MS angle, external angle (better service to MS, smaller delegations -- overwhelmed with intergovt processes) -- FOSS, staff angle (knowledge revolution -- upskilling and scale -- improve admin to programme)
</t>
    </r>
    <r>
      <rPr>
        <b/>
        <sz val="11"/>
        <rFont val="Aptos Narrow"/>
        <family val="2"/>
        <scheme val="minor"/>
      </rPr>
      <t>PU:</t>
    </r>
    <r>
      <rPr>
        <sz val="11"/>
        <rFont val="Aptos Narrow"/>
        <family val="2"/>
        <scheme val="minor"/>
      </rPr>
      <t xml:space="preserve">
- Data-driven deck for effectiveness
- Report type follows WS2 and WS3
</t>
    </r>
    <r>
      <rPr>
        <b/>
        <sz val="11"/>
        <rFont val="Aptos Narrow"/>
        <family val="2"/>
        <scheme val="minor"/>
      </rPr>
      <t>Jonas:</t>
    </r>
    <r>
      <rPr>
        <sz val="11"/>
        <rFont val="Aptos Narrow"/>
        <family val="2"/>
        <scheme val="minor"/>
      </rPr>
      <t xml:space="preserve">
- 27 Feb will talk abt the timeline, value prop
- We have something from Cluster last year -- want to rapidly validate -- not just cross-cutting exercise - effectiveness argument
- Value prop will be effectiveness first then efficiency
- Michelle has MS meeting - Thu with Swiss (not opposing but critical, evidence-based, not want move away from Geneva)
- Will have north-south sponsor for resolution -- north could be Denmark
- What type of decision in the GA? And what type of SG report to bring to GA?
- Order of speaking -- Michelle prefers the latest part bcs she'll be on train
</t>
    </r>
    <r>
      <rPr>
        <b/>
        <sz val="11"/>
        <color theme="1"/>
        <rFont val="Aptos Narrow"/>
        <family val="2"/>
        <scheme val="minor"/>
      </rPr>
      <t xml:space="preserve">
4 Feb:
Jonas:</t>
    </r>
    <r>
      <rPr>
        <sz val="11"/>
        <color theme="1"/>
        <rFont val="Aptos Narrow"/>
        <family val="2"/>
        <scheme val="minor"/>
      </rPr>
      <t xml:space="preserve">
- Currently, the procedural pathway foreseen is as follows: 
Analytical work to inform an evidence-based design. 
Engagement of member states and Boards around key outputs from the analytical process to bring them along on the journey. 
Well-advanced analytics and draft outlines of the design presented at CEB in May. 
Merger proposal endorsed by the respective governing bodies of UNSSC and UNITAR in June.   FYI, UNITAR ED plans to seek endorsement through an extraordinary joint board meeting for both transparency and efficiency.  Let me know if you see any legal obstacles to that, or if that would take any particular orchestration.
Agreement of SG by end June to put it before Member States for decision at UNGA 81
- What language should we have: Boards should endorse? Or Boards should decide mergers? before going to SG?
</t>
    </r>
    <r>
      <rPr>
        <b/>
        <sz val="11"/>
        <color theme="1"/>
        <rFont val="Aptos Narrow"/>
        <family val="2"/>
        <scheme val="minor"/>
      </rPr>
      <t xml:space="preserve">OLA:
</t>
    </r>
    <r>
      <rPr>
        <sz val="11"/>
        <color theme="1"/>
        <rFont val="Aptos Narrow"/>
        <family val="2"/>
        <scheme val="minor"/>
      </rPr>
      <t xml:space="preserve">- Necessary for 2 Boards to take same decisions
- Content of decisions: consult with SG office on what this should be, align with Boards
</t>
    </r>
    <r>
      <rPr>
        <b/>
        <sz val="11"/>
        <color theme="1"/>
        <rFont val="Aptos Narrow"/>
        <family val="2"/>
        <scheme val="minor"/>
      </rPr>
      <t>Jonas:</t>
    </r>
    <r>
      <rPr>
        <sz val="11"/>
        <color theme="1"/>
        <rFont val="Aptos Narrow"/>
        <family val="2"/>
        <scheme val="minor"/>
      </rPr>
      <t xml:space="preserve">
- Can you also advise on the mechanics of getting the proposal before member States.  If we don't need an ECOSOC resolution, how technically does SG put this before member states.  In an early conversation, you indicated there are multiple ways to do that.  E.g., is a prior member state mandate to do proposal necessary or I assume SG can put it before member states for consideration on his own authority as CAO?   I believe, under the UN Charter, the SG may bring a matter before the General Assembly without a pre-existing resolution.
OLA:
- Can use GA resoution to welcome SG proposal
KJ:
- Legally we can always go to GA -- date, agenda items need to talk to Wannes for GA/Emer for ECOSOC
</t>
    </r>
    <r>
      <rPr>
        <b/>
        <sz val="11"/>
        <color theme="1"/>
        <rFont val="Aptos Narrow"/>
        <family val="2"/>
        <scheme val="minor"/>
      </rPr>
      <t>OLA:</t>
    </r>
    <r>
      <rPr>
        <sz val="11"/>
        <color theme="1"/>
        <rFont val="Aptos Narrow"/>
        <family val="2"/>
        <scheme val="minor"/>
      </rPr>
      <t xml:space="preserve">
- We need to prepare this -- so MS ready before Boards take the decisions
- SG needs to submit report, then MS needs to champion this report
- MS needs to draft and table resolution to GA
KJ:
- Value in using 27 Feb to make suggestions -- for ECOSOC
- When talking to Wannes, ask about going to ECOSOC first or SG just go to GA -- letter-writing procedure
</t>
    </r>
    <r>
      <rPr>
        <b/>
        <sz val="11"/>
        <color theme="1"/>
        <rFont val="Aptos Narrow"/>
        <family val="2"/>
        <scheme val="minor"/>
      </rPr>
      <t xml:space="preserve">13 Jan:
Jonas:
</t>
    </r>
    <r>
      <rPr>
        <sz val="11"/>
        <color theme="1"/>
        <rFont val="Aptos Narrow"/>
        <family val="2"/>
        <scheme val="minor"/>
      </rPr>
      <t xml:space="preserve">- Questions: 1) legal basis for UNITAR and UNSSC (legal opinion on UNITAR autonomous in 2000); 2) GA decision required; planned to SG in June; which format to be used; 3) governance opts (value prop: new entity to be created)
</t>
    </r>
    <r>
      <rPr>
        <b/>
        <sz val="11"/>
        <color theme="1"/>
        <rFont val="Aptos Narrow"/>
        <family val="2"/>
        <scheme val="minor"/>
      </rPr>
      <t xml:space="preserve">John:
</t>
    </r>
    <r>
      <rPr>
        <sz val="11"/>
        <color theme="1"/>
        <rFont val="Aptos Narrow"/>
        <family val="2"/>
        <scheme val="minor"/>
      </rPr>
      <t xml:space="preserve">- Min. req. needed for merger: GA decision (UNITAR &amp; UNSSC est by SG by req of GA)
- How to get to GA dec: need decision/political assmt on how to get there
</t>
    </r>
    <r>
      <rPr>
        <b/>
        <sz val="11"/>
        <color theme="1"/>
        <rFont val="Aptos Narrow"/>
        <family val="2"/>
        <scheme val="minor"/>
      </rPr>
      <t xml:space="preserve">Jonas:
</t>
    </r>
    <r>
      <rPr>
        <sz val="11"/>
        <color theme="1"/>
        <rFont val="Aptos Narrow"/>
        <family val="2"/>
        <scheme val="minor"/>
      </rPr>
      <t xml:space="preserve">- Team: UNITAR, UNSSC, 6 entities as client (DOS, DCO, UNWomen, ITC/ILO, ITU)
- Kick-off mid Dec (every 2 weeks starting 15 Jan)
- 31 Jan - 30 Jun: roadmap then give to SG; hand over to MS for decision -- 26H2
- 3 times engagement with MS -- 1 or 2 as platform to present
</t>
    </r>
    <r>
      <rPr>
        <b/>
        <sz val="11"/>
        <color theme="1"/>
        <rFont val="Aptos Narrow"/>
        <family val="2"/>
        <scheme val="minor"/>
      </rPr>
      <t xml:space="preserve">John:
</t>
    </r>
    <r>
      <rPr>
        <sz val="11"/>
        <color theme="1"/>
        <rFont val="Aptos Narrow"/>
        <family val="2"/>
        <scheme val="minor"/>
      </rPr>
      <t xml:space="preserve">- Thought of engaging with ECOSOC? Board?
</t>
    </r>
    <r>
      <rPr>
        <b/>
        <sz val="11"/>
        <color theme="1"/>
        <rFont val="Aptos Narrow"/>
        <family val="2"/>
        <scheme val="minor"/>
      </rPr>
      <t xml:space="preserve">Jonas:
</t>
    </r>
    <r>
      <rPr>
        <sz val="11"/>
        <color theme="1"/>
        <rFont val="Aptos Narrow"/>
        <family val="2"/>
        <scheme val="minor"/>
      </rPr>
      <t xml:space="preserve">- Both Boards ask for engagement - mid-June there's meeting
- Last Board meeting UNITAR Nov: tested design principle; endorsed the idea but want to be involved
- Last Board UNSSC (by CDC) Dec: similar outcome
- ECOSOC: every 2 years both entities report to ECOSOC (2 reslns) license to operate; what's the involvement? Last resln in 2025
- There's a report to ECOSOC first then get resolutions
</t>
    </r>
    <r>
      <rPr>
        <b/>
        <sz val="11"/>
        <color theme="1"/>
        <rFont val="Aptos Narrow"/>
        <family val="2"/>
        <scheme val="minor"/>
      </rPr>
      <t xml:space="preserve">Kei:
</t>
    </r>
    <r>
      <rPr>
        <sz val="11"/>
        <color theme="1"/>
        <rFont val="Aptos Narrow"/>
        <family val="2"/>
        <scheme val="minor"/>
      </rPr>
      <t xml:space="preserve">- Item taken up by ECOSOC early in June 
- Adopt resolutions in July
- Need to engage with ECOSOC Sec re agenda (mention the proposal as report to be submitted to ECOSOC for dec in July) - President ECOSOC Bureaux
- Secure support beforehand from MS
- Big question: would ECOSOC need to be engaged with? SG reports to ECOSOC -- policy and strategy questions; will ECOSOC be able to make recs
</t>
    </r>
    <r>
      <rPr>
        <b/>
        <sz val="11"/>
        <color theme="1"/>
        <rFont val="Aptos Narrow"/>
        <family val="2"/>
        <scheme val="minor"/>
      </rPr>
      <t xml:space="preserve">PU: </t>
    </r>
    <r>
      <rPr>
        <sz val="11"/>
        <color theme="1"/>
        <rFont val="Aptos Narrow"/>
        <family val="2"/>
        <scheme val="minor"/>
      </rPr>
      <t xml:space="preserve">Agenda ECOSOC 2025/ 21. United Nations research and training institutes.
</t>
    </r>
    <r>
      <rPr>
        <b/>
        <sz val="11"/>
        <color theme="1"/>
        <rFont val="Aptos Narrow"/>
        <family val="2"/>
        <scheme val="minor"/>
      </rPr>
      <t>Kei:</t>
    </r>
    <r>
      <rPr>
        <sz val="11"/>
        <color theme="1"/>
        <rFont val="Aptos Narrow"/>
        <family val="2"/>
        <scheme val="minor"/>
      </rPr>
      <t xml:space="preserve">
- Reports before Mar/Apr -- letter from SG to Pres ECOSOC/GA -- there are ways how to comm proposals to MS
- Get advice from DGACM (ECOSOC, GA Secs)
</t>
    </r>
    <r>
      <rPr>
        <b/>
        <sz val="11"/>
        <color theme="1"/>
        <rFont val="Aptos Narrow"/>
        <family val="2"/>
        <scheme val="minor"/>
      </rPr>
      <t xml:space="preserve">Jonas:
</t>
    </r>
    <r>
      <rPr>
        <sz val="11"/>
        <color theme="1"/>
        <rFont val="Aptos Narrow"/>
        <family val="2"/>
        <scheme val="minor"/>
      </rPr>
      <t xml:space="preserve">- UNITAR BOard meeting in June, UNSSC can convene meetings ad hoc
- Board meetings can be called ad hoc if before Jun
</t>
    </r>
    <r>
      <rPr>
        <b/>
        <sz val="11"/>
        <color theme="1"/>
        <rFont val="Aptos Narrow"/>
        <family val="2"/>
        <scheme val="minor"/>
      </rPr>
      <t xml:space="preserve">Kei:
</t>
    </r>
    <r>
      <rPr>
        <sz val="11"/>
        <color theme="1"/>
        <rFont val="Aptos Narrow"/>
        <family val="2"/>
        <scheme val="minor"/>
      </rPr>
      <t xml:space="preserve">- Training and research not in agenda 2026 -- need to be added
- Rare to add item in middle of ECOSOC session
</t>
    </r>
    <r>
      <rPr>
        <b/>
        <sz val="11"/>
        <color theme="1"/>
        <rFont val="Aptos Narrow"/>
        <family val="2"/>
        <scheme val="minor"/>
      </rPr>
      <t xml:space="preserve">John:
</t>
    </r>
    <r>
      <rPr>
        <sz val="11"/>
        <color theme="1"/>
        <rFont val="Aptos Narrow"/>
        <family val="2"/>
        <scheme val="minor"/>
      </rPr>
      <t xml:space="preserve">- Meeting in Jun, what would be content of report
</t>
    </r>
    <r>
      <rPr>
        <b/>
        <sz val="11"/>
        <color theme="1"/>
        <rFont val="Aptos Narrow"/>
        <family val="2"/>
        <scheme val="minor"/>
      </rPr>
      <t xml:space="preserve">Jonas:
</t>
    </r>
    <r>
      <rPr>
        <sz val="11"/>
        <color theme="1"/>
        <rFont val="Aptos Narrow"/>
        <family val="2"/>
        <scheme val="minor"/>
      </rPr>
      <t xml:space="preserve">- Content to be sent to SG office in Jun: merger proposal; draft resolution to be passed on relevant committee as basis of GA resln (potentially added when clear)
John:
- Approach depends on: strategy re ECOSOC
- Baseline: more clarity on proposals that MS can engage what the product will be; what it means for new entity to build concensus among MS
PU: asked for clarity
Jonas:
- Doc get sign-off this Thu (roadmap) -- TOR scope of work (can share draft)
- Engagement strategy with ED now -- consultation plan
- Will send by Thu -- sent to SC engagement soon
KJ: SC in Feb/Mar, need to have legislative pathway figured out
</t>
    </r>
    <r>
      <rPr>
        <b/>
        <sz val="11"/>
        <color theme="1"/>
        <rFont val="Aptos Narrow"/>
        <family val="2"/>
        <scheme val="minor"/>
      </rPr>
      <t xml:space="preserve">
19 Dec:
Jonas</t>
    </r>
    <r>
      <rPr>
        <sz val="11"/>
        <color theme="1"/>
        <rFont val="Aptos Narrow"/>
        <family val="2"/>
        <scheme val="minor"/>
      </rPr>
      <t xml:space="preserve">
- ED alrd met with Legal Counsel to ask which MS bodies need to decide (ECOSOC vs. GA -- both have resolutions)
- UNSSC, UNITAR are autonomous
- Re team members: ED is the only action lead accntbl to SG; but UNSSC is support -- for now not action members</t>
    </r>
  </si>
  <si>
    <r>
      <rPr>
        <b/>
        <sz val="11"/>
        <color theme="1"/>
        <rFont val="Aptos Narrow"/>
        <family val="2"/>
        <scheme val="minor"/>
      </rPr>
      <t xml:space="preserve">6 Feb:
Jonas:
</t>
    </r>
    <r>
      <rPr>
        <sz val="11"/>
        <color theme="1"/>
        <rFont val="Aptos Narrow"/>
        <family val="2"/>
        <scheme val="minor"/>
      </rPr>
      <t>- Ask for focal points for WPs 7 and 8</t>
    </r>
    <r>
      <rPr>
        <b/>
        <sz val="11"/>
        <color theme="1"/>
        <rFont val="Aptos Narrow"/>
        <family val="2"/>
        <scheme val="minor"/>
      </rPr>
      <t xml:space="preserve">
13 Jan:</t>
    </r>
    <r>
      <rPr>
        <sz val="11"/>
        <color theme="1"/>
        <rFont val="Aptos Narrow"/>
        <family val="2"/>
        <scheme val="minor"/>
      </rPr>
      <t xml:space="preserve">
</t>
    </r>
    <r>
      <rPr>
        <b/>
        <sz val="11"/>
        <color theme="1"/>
        <rFont val="Aptos Narrow"/>
        <family val="2"/>
        <scheme val="minor"/>
      </rPr>
      <t xml:space="preserve">PU: </t>
    </r>
    <r>
      <rPr>
        <sz val="11"/>
        <color theme="1"/>
        <rFont val="Aptos Narrow"/>
        <family val="2"/>
        <scheme val="minor"/>
      </rPr>
      <t xml:space="preserve">scope of Join Coord
</t>
    </r>
    <r>
      <rPr>
        <b/>
        <sz val="11"/>
        <color theme="1"/>
        <rFont val="Aptos Narrow"/>
        <family val="2"/>
        <scheme val="minor"/>
      </rPr>
      <t>Jonas:</t>
    </r>
    <r>
      <rPr>
        <sz val="11"/>
        <color theme="1"/>
        <rFont val="Aptos Narrow"/>
        <family val="2"/>
        <scheme val="minor"/>
      </rPr>
      <t xml:space="preserve">
- Yes, including these learning departments</t>
    </r>
  </si>
  <si>
    <r>
      <rPr>
        <b/>
        <sz val="11"/>
        <color theme="1"/>
        <rFont val="Aptos Narrow"/>
        <family val="2"/>
        <scheme val="minor"/>
      </rPr>
      <t xml:space="preserve">9 Feb:
Wai Min/Carlos:
</t>
    </r>
    <r>
      <rPr>
        <sz val="11"/>
        <color theme="1"/>
        <rFont val="Aptos Narrow"/>
        <family val="2"/>
        <scheme val="minor"/>
      </rPr>
      <t xml:space="preserve">- Meeting to include OHRLLS
- </t>
    </r>
    <r>
      <rPr>
        <b/>
        <sz val="11"/>
        <color theme="1"/>
        <rFont val="Aptos Narrow"/>
        <family val="2"/>
        <scheme val="minor"/>
      </rPr>
      <t xml:space="preserve">
12 Jan:</t>
    </r>
    <r>
      <rPr>
        <sz val="11"/>
        <color theme="1"/>
        <rFont val="Aptos Narrow"/>
        <family val="2"/>
        <scheme val="minor"/>
      </rPr>
      <t xml:space="preserve">
</t>
    </r>
    <r>
      <rPr>
        <b/>
        <sz val="11"/>
        <color theme="1"/>
        <rFont val="Aptos Narrow"/>
        <family val="2"/>
        <scheme val="minor"/>
      </rPr>
      <t xml:space="preserve">Wai Min:
</t>
    </r>
    <r>
      <rPr>
        <sz val="11"/>
        <color theme="1"/>
        <rFont val="Aptos Narrow"/>
        <family val="2"/>
        <scheme val="minor"/>
      </rPr>
      <t xml:space="preserve">- SIDS, LDCS, LLDCS: Need to engage OHRLLS is a given as part of process
- REC support alignment to 3 different groups of countries
</t>
    </r>
    <r>
      <rPr>
        <b/>
        <sz val="11"/>
        <color theme="1"/>
        <rFont val="Aptos Narrow"/>
        <family val="2"/>
        <scheme val="minor"/>
      </rPr>
      <t xml:space="preserve">KJ: </t>
    </r>
    <r>
      <rPr>
        <sz val="11"/>
        <color theme="1"/>
        <rFont val="Aptos Narrow"/>
        <family val="2"/>
        <scheme val="minor"/>
      </rPr>
      <t xml:space="preserve">how SG/DSG can facilitate progress? Consolidating expertise through Joint Knowledge Hubs (synergy)?
</t>
    </r>
    <r>
      <rPr>
        <b/>
        <sz val="11"/>
        <color theme="1"/>
        <rFont val="Aptos Narrow"/>
        <family val="2"/>
        <scheme val="minor"/>
      </rPr>
      <t xml:space="preserve">Wai Min:
</t>
    </r>
    <r>
      <rPr>
        <sz val="11"/>
        <color theme="1"/>
        <rFont val="Aptos Narrow"/>
        <family val="2"/>
        <scheme val="minor"/>
      </rPr>
      <t xml:space="preserve">- No theme to support these groups of countries, bcs it's thematic
- Interest to look at Regional Reset -- part of discussion
</t>
    </r>
    <r>
      <rPr>
        <b/>
        <sz val="11"/>
        <color theme="1"/>
        <rFont val="Aptos Narrow"/>
        <family val="2"/>
        <scheme val="minor"/>
      </rPr>
      <t>Carlos:</t>
    </r>
    <r>
      <rPr>
        <sz val="11"/>
        <color theme="1"/>
        <rFont val="Aptos Narrow"/>
        <family val="2"/>
        <scheme val="minor"/>
      </rPr>
      <t xml:space="preserve">
- Not considered in Joint Knowledge Hubs
- Perhaps need a round or two iterations to come up with concept note before need help from DSG/SG to move toward deadline
</t>
    </r>
    <r>
      <rPr>
        <b/>
        <sz val="11"/>
        <color theme="1"/>
        <rFont val="Aptos Narrow"/>
        <family val="2"/>
        <scheme val="minor"/>
      </rPr>
      <t xml:space="preserve">PU: </t>
    </r>
    <r>
      <rPr>
        <sz val="11"/>
        <color theme="1"/>
        <rFont val="Aptos Narrow"/>
        <family val="2"/>
        <scheme val="minor"/>
      </rPr>
      <t>include OHRLLS as action members</t>
    </r>
  </si>
  <si>
    <r>
      <rPr>
        <b/>
        <sz val="11"/>
        <color theme="1"/>
        <rFont val="Aptos Narrow"/>
        <family val="2"/>
        <scheme val="minor"/>
      </rPr>
      <t xml:space="preserve">9 Feb:
Wai Min:
</t>
    </r>
    <r>
      <rPr>
        <sz val="11"/>
        <color theme="1"/>
        <rFont val="Aptos Narrow"/>
        <family val="2"/>
        <scheme val="minor"/>
      </rPr>
      <t xml:space="preserve">- Meeting next week with 5 RECs -- macroecons expert level
- Request to change action wording to reflect other entities
- No budget implication
- This is not only Secretariat issues
</t>
    </r>
    <r>
      <rPr>
        <b/>
        <sz val="11"/>
        <color theme="1"/>
        <rFont val="Aptos Narrow"/>
        <family val="2"/>
        <scheme val="minor"/>
      </rPr>
      <t xml:space="preserve">KJ:
</t>
    </r>
    <r>
      <rPr>
        <sz val="11"/>
        <color theme="1"/>
        <rFont val="Aptos Narrow"/>
        <family val="2"/>
        <scheme val="minor"/>
      </rPr>
      <t xml:space="preserve">- Remind about logistics: actions, members, milestones
</t>
    </r>
    <r>
      <rPr>
        <b/>
        <sz val="11"/>
        <color theme="1"/>
        <rFont val="Aptos Narrow"/>
        <family val="2"/>
        <scheme val="minor"/>
      </rPr>
      <t>Thil:</t>
    </r>
    <r>
      <rPr>
        <sz val="11"/>
        <color theme="1"/>
        <rFont val="Aptos Narrow"/>
        <family val="2"/>
        <scheme val="minor"/>
      </rPr>
      <t xml:space="preserve">
- Had meeting with OPPFB re programme alignment
- Political situation -- even during Cluster meeting -- OHRLLS, RECs</t>
    </r>
    <r>
      <rPr>
        <b/>
        <sz val="11"/>
        <color theme="1"/>
        <rFont val="Aptos Narrow"/>
        <family val="2"/>
        <scheme val="minor"/>
      </rPr>
      <t xml:space="preserve">
12 Jan:</t>
    </r>
    <r>
      <rPr>
        <sz val="11"/>
        <color theme="1"/>
        <rFont val="Aptos Narrow"/>
        <family val="2"/>
        <scheme val="minor"/>
      </rPr>
      <t xml:space="preserve">
</t>
    </r>
    <r>
      <rPr>
        <b/>
        <sz val="11"/>
        <color theme="1"/>
        <rFont val="Aptos Narrow"/>
        <family val="2"/>
        <scheme val="minor"/>
      </rPr>
      <t xml:space="preserve">KJ: </t>
    </r>
    <r>
      <rPr>
        <sz val="11"/>
        <color theme="1"/>
        <rFont val="Aptos Narrow"/>
        <family val="2"/>
        <scheme val="minor"/>
      </rPr>
      <t xml:space="preserve">reminder to consider what relevance/implications in PPB2027
</t>
    </r>
    <r>
      <rPr>
        <b/>
        <sz val="11"/>
        <color theme="1"/>
        <rFont val="Aptos Narrow"/>
        <family val="2"/>
        <scheme val="minor"/>
      </rPr>
      <t xml:space="preserve">Wai Min:
</t>
    </r>
    <r>
      <rPr>
        <sz val="11"/>
        <color theme="1"/>
        <rFont val="Aptos Narrow"/>
        <family val="2"/>
        <scheme val="minor"/>
      </rPr>
      <t xml:space="preserve">- Macroecons: DESA, UNCTAD -- will have a paper during TF/SC meeting
- SIDS, LDCS, LLDCS: Need to engage OHRLLS is a given as part of process
- REC support alignment to 3 different groups of countries
</t>
    </r>
    <r>
      <rPr>
        <b/>
        <sz val="11"/>
        <color theme="1"/>
        <rFont val="Aptos Narrow"/>
        <family val="2"/>
        <scheme val="minor"/>
      </rPr>
      <t>KJ:</t>
    </r>
    <r>
      <rPr>
        <sz val="11"/>
        <color theme="1"/>
        <rFont val="Aptos Narrow"/>
        <family val="2"/>
        <scheme val="minor"/>
      </rPr>
      <t xml:space="preserve"> highlight certain reports on concept paper; need SG support?
</t>
    </r>
    <r>
      <rPr>
        <b/>
        <sz val="11"/>
        <color theme="1"/>
        <rFont val="Aptos Narrow"/>
        <family val="2"/>
        <scheme val="minor"/>
      </rPr>
      <t>Wai Min:</t>
    </r>
    <r>
      <rPr>
        <sz val="11"/>
        <color theme="1"/>
        <rFont val="Aptos Narrow"/>
        <family val="2"/>
        <scheme val="minor"/>
      </rPr>
      <t xml:space="preserve">
- Link to WP30 -- have a list and alrd shared to CDC
</t>
    </r>
    <r>
      <rPr>
        <b/>
        <sz val="11"/>
        <color theme="1"/>
        <rFont val="Aptos Narrow"/>
        <family val="2"/>
        <scheme val="minor"/>
      </rPr>
      <t xml:space="preserve">Carlos:
</t>
    </r>
    <r>
      <rPr>
        <sz val="11"/>
        <color theme="1"/>
        <rFont val="Aptos Narrow"/>
        <family val="2"/>
        <scheme val="minor"/>
      </rPr>
      <t xml:space="preserve">- Component needing RECs
</t>
    </r>
    <r>
      <rPr>
        <b/>
        <sz val="11"/>
        <color theme="1"/>
        <rFont val="Aptos Narrow"/>
        <family val="2"/>
        <scheme val="minor"/>
      </rPr>
      <t xml:space="preserve">PU/KJ: </t>
    </r>
    <r>
      <rPr>
        <sz val="11"/>
        <color theme="1"/>
        <rFont val="Aptos Narrow"/>
        <family val="2"/>
        <scheme val="minor"/>
      </rPr>
      <t xml:space="preserve">add even indication of changes in programme plan; support entities in pruning legislative mandates
</t>
    </r>
    <r>
      <rPr>
        <b/>
        <sz val="11"/>
        <color theme="1"/>
        <rFont val="Aptos Narrow"/>
        <family val="2"/>
        <scheme val="minor"/>
      </rPr>
      <t>Wai Min:</t>
    </r>
    <r>
      <rPr>
        <sz val="11"/>
        <color theme="1"/>
        <rFont val="Aptos Narrow"/>
        <family val="2"/>
        <scheme val="minor"/>
      </rPr>
      <t xml:space="preserve">
- SG reporting on sustainable development forum - moved to CMYO -- alignment not reduction
</t>
    </r>
  </si>
  <si>
    <r>
      <t xml:space="preserve">10 Feb:
</t>
    </r>
    <r>
      <rPr>
        <sz val="11"/>
        <color theme="1"/>
        <rFont val="Aptos Narrow"/>
        <family val="2"/>
        <scheme val="minor"/>
      </rPr>
      <t>- Deliverable submitted with intermediate milestones</t>
    </r>
    <r>
      <rPr>
        <b/>
        <sz val="11"/>
        <color theme="1"/>
        <rFont val="Aptos Narrow"/>
        <family val="2"/>
        <scheme val="minor"/>
      </rPr>
      <t xml:space="preserve">
14 Jan:
</t>
    </r>
    <r>
      <rPr>
        <sz val="11"/>
        <color theme="1"/>
        <rFont val="Aptos Narrow"/>
        <family val="2"/>
        <scheme val="minor"/>
      </rPr>
      <t>- Note: This seems to be progressing well. Important to keep the momentum.</t>
    </r>
  </si>
  <si>
    <r>
      <t xml:space="preserve">ASK OFFICIAL BOARD DECISION
6 Feb:
</t>
    </r>
    <r>
      <rPr>
        <sz val="11"/>
        <color theme="1"/>
        <rFont val="Aptos Narrow"/>
        <family val="2"/>
        <scheme val="minor"/>
      </rPr>
      <t>- Remind about deliverable submission
- Share upcoming meetings incl. GA -- schedule prep meeting</t>
    </r>
    <r>
      <rPr>
        <b/>
        <sz val="11"/>
        <color theme="1"/>
        <rFont val="Aptos Narrow"/>
        <family val="2"/>
        <scheme val="minor"/>
      </rPr>
      <t xml:space="preserve">
14 Jan:
</t>
    </r>
    <r>
      <rPr>
        <sz val="11"/>
        <color theme="1"/>
        <rFont val="Aptos Narrow"/>
        <family val="2"/>
        <scheme val="minor"/>
      </rPr>
      <t>- Note: Status of UNU action not clear. Deputy Rector in TF to update. Action is past deadline of 4 Dec.</t>
    </r>
  </si>
  <si>
    <r>
      <rPr>
        <b/>
        <sz val="11"/>
        <color theme="1"/>
        <rFont val="Aptos Narrow"/>
        <family val="2"/>
        <scheme val="minor"/>
      </rPr>
      <t>10 Feb:</t>
    </r>
    <r>
      <rPr>
        <sz val="11"/>
        <color theme="1"/>
        <rFont val="Aptos Narrow"/>
        <family val="2"/>
        <scheme val="minor"/>
      </rPr>
      <t xml:space="preserve">
- What is the form of endorsement for the concept note?
- From last TF meeting, did you get in touch with WP7? 
- Was the definition Rebeca shared on last TF agreed with WP8?
- Rebeca Grynspan mentioned that WP7 need more discussion with WP8 -- difference in scope: Hubs on policy. EOD on existing support in country. Hubs: joint policy advice, knowledge product. EOD service packages, tech support. Hubs long-term coherence, knowledge infra, MS needs. EOD demand-driven opertional support system</t>
    </r>
    <r>
      <rPr>
        <b/>
        <sz val="11"/>
        <color theme="1"/>
        <rFont val="Aptos Narrow"/>
        <family val="2"/>
        <scheme val="minor"/>
      </rPr>
      <t xml:space="preserve">
14 Jan:
</t>
    </r>
    <r>
      <rPr>
        <sz val="11"/>
        <color theme="1"/>
        <rFont val="Aptos Narrow"/>
        <family val="2"/>
        <scheme val="minor"/>
      </rPr>
      <t xml:space="preserve">- What are the next steps towards endorsement of the initial concept? 
- Will the mechanism evolve over time and what is most important at the start?
- How can the SG support in the SC on 23 January? </t>
    </r>
  </si>
  <si>
    <t xml:space="preserve">10 Feb:
- Deliverable submitted with intermediate milestones
</t>
  </si>
  <si>
    <t xml:space="preserve">10 Feb:
- What is the form of endorsement for the concept note?
- From last TF meeting, did you get in touch with WP7? 
- Was the definition Rebeca shared on last TF agreed with WP8?
- Rebeca Grynspan mentioned that WP7 need more discussion with WP8 -- difference in scope: Hubs on policy. EOD on existing support in country. Hubs: joint policy advice, knowledge product. EOD service packages, tech support. Hubs long-term coherence, knowledge infra, MS needs. EOD demand-driven opertional support system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</si>
</sst>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yy;@"/>
    <numFmt numFmtId="165" formatCode="[$-409]mmm\-yy;@"/>
    <numFmt numFmtId="166" formatCode="#"/>
  </numFmts>
  <fonts count="3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sz val="12"/>
      <color rgb="FF000000"/>
      <name val="Aptos Narrow"/>
      <family val="2"/>
      <charset val="1"/>
    </font>
    <font>
      <sz val="12"/>
      <color rgb="FF000000"/>
      <name val="Roboto Light"/>
    </font>
    <font>
      <sz val="12"/>
      <color rgb="FF000000"/>
      <name val="Roboto Medium"/>
    </font>
    <font>
      <sz val="12"/>
      <name val="Roboto Medium"/>
    </font>
    <font>
      <sz val="8"/>
      <name val="Aptos Narrow"/>
      <family val="2"/>
      <scheme val="minor"/>
    </font>
    <font>
      <u/>
      <sz val="11"/>
      <color theme="10"/>
      <name val="Aptos Narrow"/>
      <family val="2"/>
      <scheme val="minor"/>
    </font>
    <font>
      <b/>
      <sz val="18"/>
      <color rgb="FFFF0000"/>
      <name val="Aptos Narrow"/>
      <family val="2"/>
      <scheme val="minor"/>
    </font>
    <font>
      <b/>
      <sz val="18"/>
      <color theme="7"/>
      <name val="Aptos Narrow"/>
      <family val="2"/>
      <scheme val="minor"/>
    </font>
    <font>
      <b/>
      <sz val="11"/>
      <color rgb="FFFF0000"/>
      <name val="Aptos Narrow"/>
      <family val="2"/>
      <scheme val="minor"/>
    </font>
    <font>
      <sz val="11"/>
      <name val="Aptos Narrow"/>
      <family val="2"/>
      <scheme val="minor"/>
    </font>
    <font>
      <b/>
      <sz val="11"/>
      <color theme="5"/>
      <name val="Aptos Narrow"/>
      <family val="2"/>
      <scheme val="minor"/>
    </font>
    <font>
      <sz val="11"/>
      <color rgb="FF000000"/>
      <name val="Aptos Narrow"/>
      <family val="2"/>
      <scheme val="minor"/>
    </font>
    <font>
      <b/>
      <sz val="11"/>
      <color rgb="FF000000"/>
      <name val="Aptos Narrow"/>
      <family val="2"/>
      <scheme val="minor"/>
    </font>
    <font>
      <b/>
      <sz val="14"/>
      <color theme="1"/>
      <name val="Aptos Narrow"/>
      <family val="2"/>
      <scheme val="minor"/>
    </font>
    <font>
      <sz val="9"/>
      <color theme="1"/>
      <name val="Aptos Narrow"/>
      <family val="2"/>
      <scheme val="minor"/>
    </font>
    <font>
      <b/>
      <sz val="16"/>
      <color theme="1"/>
      <name val="Aptos Narrow"/>
      <family val="2"/>
      <scheme val="minor"/>
    </font>
    <font>
      <sz val="9"/>
      <color theme="0" tint="-0.499984740745262"/>
      <name val="Aptos Narrow"/>
      <family val="2"/>
      <scheme val="minor"/>
    </font>
    <font>
      <sz val="12"/>
      <color theme="1"/>
      <name val="Aptos Narrow"/>
      <family val="2"/>
      <scheme val="minor"/>
    </font>
    <font>
      <sz val="11"/>
      <name val="Aptos Narrow"/>
      <family val="2"/>
    </font>
    <font>
      <b/>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89999084444715716"/>
        <bgColor indexed="64"/>
      </patternFill>
    </fill>
    <fill>
      <patternFill patternType="solid">
        <fgColor rgb="FFFF00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right/>
      <top/>
      <bottom style="medium">
        <color indexed="64"/>
      </bottom>
      <diagonal/>
    </border>
    <border>
      <left/>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applyNumberFormat="0" applyFill="0" applyBorder="0" applyAlignment="0" applyProtection="0"/>
  </cellStyleXfs>
  <cellXfs count="82">
    <xf numFmtId="0" fontId="0" fillId="0" borderId="0" xfId="0"/>
    <xf numFmtId="49" fontId="0" fillId="0" borderId="0" xfId="0" applyNumberFormat="1"/>
    <xf numFmtId="0" fontId="0" fillId="0" borderId="0" xfId="0" applyAlignment="1">
      <alignment wrapText="1"/>
    </xf>
    <xf numFmtId="14" fontId="0" fillId="0" borderId="0" xfId="0" applyNumberFormat="1"/>
    <xf numFmtId="22" fontId="0" fillId="0" borderId="0" xfId="0" applyNumberFormat="1"/>
    <xf numFmtId="1" fontId="0" fillId="0" borderId="0" xfId="0" applyNumberFormat="1"/>
    <xf numFmtId="0" fontId="18" fillId="0" borderId="0" xfId="0" applyFont="1"/>
    <xf numFmtId="0" fontId="19" fillId="0" borderId="0" xfId="0" applyFont="1"/>
    <xf numFmtId="0" fontId="0" fillId="0" borderId="0" xfId="0" applyAlignment="1">
      <alignment horizontal="left" vertical="top"/>
    </xf>
    <xf numFmtId="17" fontId="0" fillId="0" borderId="0" xfId="0" applyNumberFormat="1"/>
    <xf numFmtId="0" fontId="24" fillId="0" borderId="0" xfId="42"/>
    <xf numFmtId="0" fontId="25" fillId="0" borderId="0" xfId="0" applyFont="1" applyAlignment="1">
      <alignment horizontal="left" vertical="top"/>
    </xf>
    <xf numFmtId="0" fontId="26" fillId="0" borderId="0" xfId="0" applyFont="1" applyAlignment="1">
      <alignment horizontal="left" vertical="top"/>
    </xf>
    <xf numFmtId="0" fontId="0" fillId="0" borderId="0" xfId="0" applyAlignment="1">
      <alignment vertical="top"/>
    </xf>
    <xf numFmtId="0" fontId="0" fillId="0" borderId="0" xfId="0" applyAlignment="1">
      <alignment horizontal="left" vertical="top" wrapText="1"/>
    </xf>
    <xf numFmtId="0" fontId="16" fillId="0" borderId="0" xfId="0" applyFont="1" applyAlignment="1">
      <alignment horizontal="left" vertical="top" wrapText="1"/>
    </xf>
    <xf numFmtId="0" fontId="0" fillId="0" borderId="0" xfId="0" applyAlignment="1">
      <alignment vertical="top" wrapText="1"/>
    </xf>
    <xf numFmtId="0" fontId="27" fillId="0" borderId="0" xfId="0" applyFont="1" applyAlignment="1">
      <alignment horizontal="left" vertical="top" wrapText="1"/>
    </xf>
    <xf numFmtId="14" fontId="0" fillId="0" borderId="0" xfId="0" applyNumberFormat="1" applyAlignment="1">
      <alignment horizontal="left" vertical="top" wrapText="1"/>
    </xf>
    <xf numFmtId="0" fontId="0" fillId="0" borderId="0" xfId="0" quotePrefix="1" applyAlignment="1">
      <alignment horizontal="left" vertical="top" wrapText="1"/>
    </xf>
    <xf numFmtId="0" fontId="14" fillId="0" borderId="0" xfId="0" applyFont="1" applyAlignment="1">
      <alignment horizontal="left" vertical="top" wrapText="1"/>
    </xf>
    <xf numFmtId="14" fontId="14" fillId="0" borderId="0" xfId="0" quotePrefix="1" applyNumberFormat="1" applyFont="1" applyAlignment="1">
      <alignment horizontal="left" vertical="top" wrapText="1"/>
    </xf>
    <xf numFmtId="14" fontId="14" fillId="0" borderId="0" xfId="0" applyNumberFormat="1" applyFont="1" applyAlignment="1">
      <alignment horizontal="left" vertical="top" wrapText="1"/>
    </xf>
    <xf numFmtId="14" fontId="28" fillId="0" borderId="0" xfId="0" quotePrefix="1" applyNumberFormat="1" applyFont="1" applyAlignment="1">
      <alignment horizontal="left" vertical="top" wrapText="1"/>
    </xf>
    <xf numFmtId="0" fontId="16" fillId="0" borderId="0" xfId="0" applyFont="1"/>
    <xf numFmtId="14" fontId="0" fillId="0" borderId="0" xfId="0" applyNumberFormat="1" applyAlignment="1">
      <alignment wrapText="1"/>
    </xf>
    <xf numFmtId="0" fontId="14" fillId="0" borderId="0" xfId="0" quotePrefix="1" applyFont="1" applyAlignment="1">
      <alignment horizontal="left" vertical="top" wrapText="1"/>
    </xf>
    <xf numFmtId="0" fontId="29" fillId="0" borderId="0" xfId="0" applyFont="1"/>
    <xf numFmtId="0" fontId="16" fillId="0" borderId="10" xfId="0" applyFont="1" applyBorder="1"/>
    <xf numFmtId="0" fontId="30" fillId="0" borderId="0" xfId="0" applyFont="1" applyAlignment="1">
      <alignment horizontal="left" vertical="top" wrapText="1"/>
    </xf>
    <xf numFmtId="14" fontId="0" fillId="0" borderId="0" xfId="0" applyNumberFormat="1" applyAlignment="1">
      <alignment vertical="top"/>
    </xf>
    <xf numFmtId="17" fontId="0" fillId="0" borderId="0" xfId="0" applyNumberFormat="1" applyAlignment="1">
      <alignment vertical="top"/>
    </xf>
    <xf numFmtId="14" fontId="0" fillId="0" borderId="0" xfId="0" applyNumberFormat="1" applyAlignment="1">
      <alignment vertical="top" wrapText="1"/>
    </xf>
    <xf numFmtId="0" fontId="16" fillId="0" borderId="0" xfId="0" applyFont="1" applyAlignment="1">
      <alignment vertical="top" wrapText="1"/>
    </xf>
    <xf numFmtId="0" fontId="16" fillId="0" borderId="0" xfId="0" applyFont="1" applyAlignment="1">
      <alignment wrapText="1"/>
    </xf>
    <xf numFmtId="165" fontId="0" fillId="0" borderId="0" xfId="0" applyNumberFormat="1" applyAlignment="1">
      <alignment vertical="top" wrapText="1"/>
    </xf>
    <xf numFmtId="0" fontId="26" fillId="33" borderId="0" xfId="0" applyFont="1" applyFill="1" applyAlignment="1">
      <alignment horizontal="left" vertical="top"/>
    </xf>
    <xf numFmtId="0" fontId="0" fillId="33" borderId="0" xfId="0" applyFill="1" applyAlignment="1">
      <alignment horizontal="left" vertical="top"/>
    </xf>
    <xf numFmtId="165" fontId="0" fillId="0" borderId="0" xfId="0" applyNumberFormat="1" applyAlignment="1">
      <alignment horizontal="left" vertical="top" wrapText="1"/>
    </xf>
    <xf numFmtId="165" fontId="16" fillId="0" borderId="0" xfId="0" applyNumberFormat="1" applyFont="1" applyAlignment="1">
      <alignment vertical="top" wrapText="1"/>
    </xf>
    <xf numFmtId="0" fontId="32" fillId="0" borderId="0" xfId="0" applyFont="1" applyAlignment="1">
      <alignment horizontal="left" vertical="top"/>
    </xf>
    <xf numFmtId="9" fontId="32" fillId="0" borderId="0" xfId="0" applyNumberFormat="1" applyFont="1" applyAlignment="1">
      <alignment horizontal="left" vertical="top"/>
    </xf>
    <xf numFmtId="0" fontId="31" fillId="0" borderId="0" xfId="0" applyFont="1" applyAlignment="1">
      <alignment horizontal="left" vertical="top" wrapText="1"/>
    </xf>
    <xf numFmtId="0" fontId="29" fillId="0" borderId="0" xfId="0" applyFont="1" applyAlignment="1">
      <alignment horizontal="left" vertical="top" wrapText="1"/>
    </xf>
    <xf numFmtId="0" fontId="33" fillId="0" borderId="0" xfId="0" applyFont="1" applyAlignment="1">
      <alignment vertical="top" wrapText="1"/>
    </xf>
    <xf numFmtId="16" fontId="33" fillId="0" borderId="0" xfId="0" applyNumberFormat="1" applyFont="1" applyAlignment="1">
      <alignment vertical="top" wrapText="1"/>
    </xf>
    <xf numFmtId="166" fontId="33" fillId="0" borderId="0" xfId="0" applyNumberFormat="1" applyFont="1" applyAlignment="1">
      <alignment vertical="top" wrapText="1"/>
    </xf>
    <xf numFmtId="0" fontId="34" fillId="0" borderId="0" xfId="0" applyFont="1" applyAlignment="1">
      <alignment vertical="top"/>
    </xf>
    <xf numFmtId="0" fontId="33" fillId="34" borderId="0" xfId="0" applyFont="1" applyFill="1" applyAlignment="1">
      <alignment vertical="top" wrapText="1"/>
    </xf>
    <xf numFmtId="16" fontId="33" fillId="34" borderId="0" xfId="0" applyNumberFormat="1" applyFont="1" applyFill="1" applyAlignment="1">
      <alignment vertical="top" wrapText="1"/>
    </xf>
    <xf numFmtId="166" fontId="33" fillId="34" borderId="0" xfId="0" applyNumberFormat="1" applyFont="1" applyFill="1" applyAlignment="1">
      <alignment vertical="top" wrapText="1"/>
    </xf>
    <xf numFmtId="0" fontId="35" fillId="0" borderId="0" xfId="0" applyFont="1" applyAlignment="1">
      <alignment vertical="top" wrapText="1"/>
    </xf>
    <xf numFmtId="16" fontId="35" fillId="0" borderId="0" xfId="0" applyNumberFormat="1" applyFont="1" applyAlignment="1">
      <alignment vertical="top" wrapText="1"/>
    </xf>
    <xf numFmtId="165" fontId="0" fillId="35" borderId="0" xfId="0" applyNumberFormat="1" applyFill="1" applyAlignment="1">
      <alignment vertical="top" wrapText="1"/>
    </xf>
    <xf numFmtId="14" fontId="28" fillId="0" borderId="0" xfId="0" applyNumberFormat="1" applyFont="1" applyAlignment="1">
      <alignment horizontal="left" vertical="top" wrapText="1"/>
    </xf>
    <xf numFmtId="0" fontId="0" fillId="0" borderId="0" xfId="0" quotePrefix="1" applyAlignment="1">
      <alignment vertical="top" wrapText="1"/>
    </xf>
    <xf numFmtId="164" fontId="0" fillId="0" borderId="0" xfId="0" applyNumberFormat="1" applyAlignment="1">
      <alignment horizontal="left" vertical="top" wrapText="1"/>
    </xf>
    <xf numFmtId="0" fontId="28" fillId="0" borderId="0" xfId="0" applyFont="1" applyAlignment="1">
      <alignment horizontal="left" vertical="top" wrapText="1"/>
    </xf>
    <xf numFmtId="0" fontId="28" fillId="0" borderId="0" xfId="0" applyFont="1" applyAlignment="1">
      <alignment vertical="top" wrapText="1"/>
    </xf>
    <xf numFmtId="0" fontId="33" fillId="0" borderId="0" xfId="0" applyFont="1" applyAlignment="1">
      <alignment horizontal="left" vertical="top" wrapText="1"/>
    </xf>
    <xf numFmtId="0" fontId="36" fillId="0" borderId="0" xfId="0" applyFont="1" applyAlignment="1">
      <alignment vertical="top"/>
    </xf>
    <xf numFmtId="0" fontId="33" fillId="0" borderId="11" xfId="0" applyFont="1" applyBorder="1" applyAlignment="1">
      <alignment vertical="top" wrapText="1"/>
    </xf>
    <xf numFmtId="0" fontId="35" fillId="0" borderId="11" xfId="0" applyFont="1" applyBorder="1" applyAlignment="1">
      <alignment vertical="top" wrapText="1"/>
    </xf>
    <xf numFmtId="16" fontId="35" fillId="0" borderId="11" xfId="0" applyNumberFormat="1" applyFont="1" applyBorder="1" applyAlignment="1">
      <alignment vertical="top" wrapText="1"/>
    </xf>
    <xf numFmtId="0" fontId="33" fillId="34" borderId="11" xfId="0" applyFont="1" applyFill="1" applyBorder="1" applyAlignment="1">
      <alignment vertical="top" wrapText="1"/>
    </xf>
    <xf numFmtId="16" fontId="33" fillId="34" borderId="11" xfId="0" applyNumberFormat="1" applyFont="1" applyFill="1" applyBorder="1" applyAlignment="1">
      <alignment vertical="top" wrapText="1"/>
    </xf>
    <xf numFmtId="166" fontId="33" fillId="34" borderId="11" xfId="0" applyNumberFormat="1" applyFont="1" applyFill="1" applyBorder="1" applyAlignment="1">
      <alignment vertical="top" wrapText="1"/>
    </xf>
    <xf numFmtId="0" fontId="33" fillId="0" borderId="12" xfId="0" applyFont="1" applyBorder="1" applyAlignment="1">
      <alignment vertical="top" wrapText="1"/>
    </xf>
    <xf numFmtId="0" fontId="35" fillId="0" borderId="12" xfId="0" applyFont="1" applyBorder="1" applyAlignment="1">
      <alignment vertical="top" wrapText="1"/>
    </xf>
    <xf numFmtId="16" fontId="35" fillId="0" borderId="12" xfId="0" applyNumberFormat="1" applyFont="1" applyBorder="1" applyAlignment="1">
      <alignment vertical="top" wrapText="1"/>
    </xf>
    <xf numFmtId="0" fontId="33" fillId="34" borderId="12" xfId="0" applyFont="1" applyFill="1" applyBorder="1" applyAlignment="1">
      <alignment vertical="top" wrapText="1"/>
    </xf>
    <xf numFmtId="16" fontId="33" fillId="34" borderId="12" xfId="0" applyNumberFormat="1" applyFont="1" applyFill="1" applyBorder="1" applyAlignment="1">
      <alignment vertical="top" wrapText="1"/>
    </xf>
    <xf numFmtId="166" fontId="33" fillId="34" borderId="12" xfId="0" applyNumberFormat="1" applyFont="1" applyFill="1" applyBorder="1" applyAlignment="1">
      <alignment vertical="top" wrapText="1"/>
    </xf>
    <xf numFmtId="0" fontId="33" fillId="0" borderId="12" xfId="0" applyFont="1" applyBorder="1" applyAlignment="1">
      <alignment horizontal="left" vertical="top" wrapText="1"/>
    </xf>
    <xf numFmtId="0" fontId="33" fillId="0" borderId="11" xfId="0" applyFont="1" applyBorder="1" applyAlignment="1">
      <alignment horizontal="left" vertical="top" wrapText="1"/>
    </xf>
    <xf numFmtId="0" fontId="37" fillId="0" borderId="0" xfId="0" quotePrefix="1" applyFont="1" applyAlignment="1">
      <alignment horizontal="left" vertical="top" wrapText="1"/>
    </xf>
    <xf numFmtId="0" fontId="28" fillId="0" borderId="0" xfId="0" quotePrefix="1" applyFont="1" applyAlignment="1">
      <alignment vertical="top" wrapText="1"/>
    </xf>
    <xf numFmtId="0" fontId="28" fillId="0" borderId="0" xfId="0" quotePrefix="1" applyFont="1" applyAlignment="1">
      <alignment horizontal="left" vertical="top" wrapText="1"/>
    </xf>
    <xf numFmtId="164" fontId="28" fillId="0" borderId="0" xfId="0" applyNumberFormat="1" applyFont="1" applyAlignment="1">
      <alignment horizontal="left" vertical="top" wrapText="1"/>
    </xf>
    <xf numFmtId="14" fontId="0" fillId="0" borderId="0" xfId="0" quotePrefix="1" applyNumberFormat="1" applyAlignment="1">
      <alignment horizontal="left" vertical="top" wrapText="1"/>
    </xf>
    <xf numFmtId="0" fontId="16" fillId="0" borderId="0" xfId="0" quotePrefix="1" applyFont="1" applyAlignment="1">
      <alignment horizontal="left" vertical="top" wrapText="1"/>
    </xf>
    <xf numFmtId="14" fontId="0" fillId="33" borderId="0" xfId="0" applyNumberFormat="1" applyFill="1"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3">
    <dxf>
      <font>
        <color theme="6"/>
      </font>
      <fill>
        <patternFill>
          <bgColor theme="9" tint="0.7999816888943144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0" tint="-0.499984740745262"/>
      </font>
      <fill>
        <patternFill>
          <bgColor theme="0" tint="-4.9989318521683403E-2"/>
        </patternFill>
      </fill>
    </dxf>
    <dxf>
      <font>
        <color theme="5"/>
      </font>
      <fill>
        <patternFill>
          <bgColor theme="5" tint="0.79998168889431442"/>
        </patternFill>
      </fill>
    </dxf>
    <dxf>
      <font>
        <color theme="6"/>
      </font>
      <fill>
        <patternFill>
          <bgColor theme="9" tint="0.79998168889431442"/>
        </patternFill>
      </fill>
    </dxf>
    <dxf>
      <font>
        <color rgb="FF9C0006"/>
      </font>
      <fill>
        <patternFill>
          <bgColor rgb="FFFFC7CE"/>
        </patternFill>
      </fill>
    </dxf>
    <dxf>
      <font>
        <color rgb="FF006100"/>
      </font>
      <fill>
        <patternFill>
          <bgColor rgb="FFC6EFCE"/>
        </patternFill>
      </fil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1" formatCode="0"/>
    </dxf>
    <dxf>
      <numFmt numFmtId="30" formatCode="@"/>
    </dxf>
    <dxf>
      <numFmt numFmtId="167" formatCode="dd/mm/yyyy\ h:mm"/>
    </dxf>
    <dxf>
      <numFmt numFmtId="168" formatCode="dd/mm/yyyy"/>
    </dxf>
    <dxf>
      <numFmt numFmtId="30" formatCode="@"/>
      <alignment horizontal="general" vertical="bottom" textRotation="0" wrapText="0" indent="0" justifyLastLine="0" shrinkToFit="0" readingOrder="0"/>
    </dxf>
    <dxf>
      <numFmt numFmtId="168" formatCode="dd/mm/yyyy"/>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numFmt numFmtId="30" formatCode="@"/>
    </dxf>
    <dxf>
      <numFmt numFmtId="30" formatCode="@"/>
      <alignment horizontal="general"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sz val="9"/>
        <color theme="1"/>
        <name val="Aptos Narrow"/>
        <family val="2"/>
        <scheme val="minor"/>
      </font>
      <alignment horizontal="general" vertical="top" textRotation="0" wrapText="1" indent="0" justifyLastLine="0" shrinkToFit="0" readingOrder="0"/>
    </dxf>
    <dxf>
      <font>
        <strike val="0"/>
        <outline val="0"/>
        <shadow val="0"/>
        <u val="none"/>
        <vertAlign val="baseline"/>
        <sz val="9"/>
        <color theme="1"/>
        <name val="Aptos Narrow"/>
        <family val="2"/>
        <scheme val="minor"/>
      </font>
      <numFmt numFmtId="166" formatCode="#"/>
      <fill>
        <patternFill patternType="solid">
          <fgColor indexed="64"/>
          <bgColor theme="3" tint="0.89999084444715716"/>
        </patternFill>
      </fill>
      <alignment horizontal="general" vertical="top" textRotation="0" wrapText="1" indent="0" justifyLastLine="0" shrinkToFit="0" readingOrder="0"/>
    </dxf>
    <dxf>
      <font>
        <strike val="0"/>
        <outline val="0"/>
        <shadow val="0"/>
        <u val="none"/>
        <vertAlign val="baseline"/>
        <sz val="9"/>
        <color theme="1"/>
        <name val="Aptos Narrow"/>
        <family val="2"/>
        <scheme val="minor"/>
      </font>
      <numFmt numFmtId="169" formatCode="dd\-mmm"/>
      <fill>
        <patternFill patternType="solid">
          <fgColor indexed="64"/>
          <bgColor theme="3" tint="0.89999084444715716"/>
        </patternFill>
      </fill>
      <alignment horizontal="general" vertical="top" textRotation="0" wrapText="1" indent="0" justifyLastLine="0" shrinkToFit="0" readingOrder="0"/>
    </dxf>
    <dxf>
      <font>
        <strike val="0"/>
        <outline val="0"/>
        <shadow val="0"/>
        <u val="none"/>
        <vertAlign val="baseline"/>
        <sz val="9"/>
        <color theme="1"/>
        <name val="Aptos Narrow"/>
        <family val="2"/>
        <scheme val="minor"/>
      </font>
      <fill>
        <patternFill patternType="solid">
          <fgColor indexed="64"/>
          <bgColor theme="3" tint="0.89999084444715716"/>
        </patternFill>
      </fill>
      <alignment horizontal="general" vertical="top" textRotation="0" wrapText="1" indent="0" justifyLastLine="0" shrinkToFit="0" readingOrder="0"/>
    </dxf>
    <dxf>
      <font>
        <strike val="0"/>
        <outline val="0"/>
        <shadow val="0"/>
        <u val="none"/>
        <vertAlign val="baseline"/>
        <sz val="9"/>
        <color theme="0" tint="-0.499984740745262"/>
        <name val="Aptos Narrow"/>
        <family val="2"/>
        <scheme val="minor"/>
      </font>
      <numFmt numFmtId="169" formatCode="dd\-mmm"/>
      <alignment horizontal="general" vertical="top" textRotation="0" wrapText="1" indent="0" justifyLastLine="0" shrinkToFit="0" readingOrder="0"/>
    </dxf>
    <dxf>
      <font>
        <strike val="0"/>
        <outline val="0"/>
        <shadow val="0"/>
        <u val="none"/>
        <vertAlign val="baseline"/>
        <sz val="9"/>
        <color theme="0" tint="-0.499984740745262"/>
        <name val="Aptos Narrow"/>
        <family val="2"/>
        <scheme val="minor"/>
      </font>
      <alignment horizontal="general" vertical="top" textRotation="0" wrapText="1" indent="0" justifyLastLine="0" shrinkToFit="0" readingOrder="0"/>
    </dxf>
    <dxf>
      <font>
        <strike val="0"/>
        <outline val="0"/>
        <shadow val="0"/>
        <u val="none"/>
        <vertAlign val="baseline"/>
        <sz val="9"/>
        <color theme="0" tint="-0.499984740745262"/>
        <name val="Aptos Narrow"/>
        <family val="2"/>
        <scheme val="minor"/>
      </font>
      <numFmt numFmtId="169" formatCode="dd\-mmm"/>
      <alignment horizontal="general" vertical="top" textRotation="0" wrapText="1" indent="0" justifyLastLine="0" shrinkToFit="0" readingOrder="0"/>
    </dxf>
    <dxf>
      <font>
        <strike val="0"/>
        <outline val="0"/>
        <shadow val="0"/>
        <u val="none"/>
        <vertAlign val="baseline"/>
        <sz val="9"/>
        <color theme="0" tint="-0.499984740745262"/>
        <name val="Aptos Narrow"/>
        <family val="2"/>
        <scheme val="minor"/>
      </font>
      <alignment horizontal="general" vertical="top" textRotation="0" wrapText="1" indent="0" justifyLastLine="0" shrinkToFit="0" readingOrder="0"/>
    </dxf>
    <dxf>
      <font>
        <strike val="0"/>
        <outline val="0"/>
        <shadow val="0"/>
        <u val="none"/>
        <vertAlign val="baseline"/>
        <sz val="9"/>
        <color theme="0" tint="-0.499984740745262"/>
        <name val="Aptos Narrow"/>
        <family val="2"/>
        <scheme val="minor"/>
      </font>
      <alignment horizontal="general" vertical="top" textRotation="0" wrapText="1" indent="0" justifyLastLine="0" shrinkToFit="0" readingOrder="0"/>
    </dxf>
    <dxf>
      <font>
        <strike val="0"/>
        <outline val="0"/>
        <shadow val="0"/>
        <u val="none"/>
        <vertAlign val="baseline"/>
        <sz val="9"/>
        <color theme="0" tint="-0.499984740745262"/>
        <name val="Aptos Narrow"/>
        <family val="2"/>
        <scheme val="minor"/>
      </font>
      <alignment horizontal="general" vertical="top" textRotation="0" wrapText="1" indent="0" justifyLastLine="0" shrinkToFit="0" readingOrder="0"/>
    </dxf>
    <dxf>
      <font>
        <strike val="0"/>
        <outline val="0"/>
        <shadow val="0"/>
        <u val="none"/>
        <vertAlign val="baseline"/>
        <sz val="9"/>
        <color theme="1"/>
        <name val="Aptos Narrow"/>
        <family val="2"/>
        <scheme val="minor"/>
      </font>
      <alignment horizontal="general" vertical="top" textRotation="0" wrapText="1" indent="0" justifyLastLine="0" shrinkToFit="0" readingOrder="0"/>
    </dxf>
    <dxf>
      <font>
        <strike val="0"/>
        <outline val="0"/>
        <shadow val="0"/>
        <u val="none"/>
        <vertAlign val="baseline"/>
        <sz val="9"/>
        <color theme="1"/>
        <name val="Aptos Narrow"/>
        <family val="2"/>
        <scheme val="minor"/>
      </font>
      <alignment horizontal="general" vertical="top" textRotation="0" wrapText="1" indent="0" justifyLastLine="0" shrinkToFit="0" readingOrder="0"/>
    </dxf>
    <dxf>
      <font>
        <strike val="0"/>
        <outline val="0"/>
        <shadow val="0"/>
        <u val="none"/>
        <vertAlign val="baseline"/>
        <sz val="9"/>
        <color theme="1"/>
        <name val="Aptos Narrow"/>
        <family val="2"/>
        <scheme val="minor"/>
      </font>
      <alignment horizontal="general" vertical="top" textRotation="0" wrapText="1" indent="0" justifyLastLine="0" shrinkToFit="0" readingOrder="0"/>
    </dxf>
    <dxf>
      <font>
        <strike val="0"/>
        <outline val="0"/>
        <shadow val="0"/>
        <u val="none"/>
        <vertAlign val="baseline"/>
        <sz val="9"/>
        <color theme="1"/>
        <name val="Aptos Narrow"/>
        <family val="2"/>
        <scheme val="minor"/>
      </font>
      <alignment horizontal="general" vertical="top" textRotation="0" wrapText="1" indent="0" justifyLastLine="0" shrinkToFit="0" readingOrder="0"/>
    </dxf>
    <dxf>
      <font>
        <strike val="0"/>
        <outline val="0"/>
        <shadow val="0"/>
        <u val="none"/>
        <vertAlign val="baseline"/>
        <sz val="9"/>
        <color theme="1"/>
        <name val="Aptos Narrow"/>
        <family val="2"/>
        <scheme val="minor"/>
      </font>
      <alignment horizontal="general" vertical="top" textRotation="0" wrapText="1" indent="0" justifyLastLine="0" shrinkToFit="0" readingOrder="0"/>
    </dxf>
    <dxf>
      <font>
        <strike val="0"/>
        <outline val="0"/>
        <shadow val="0"/>
        <u val="none"/>
        <vertAlign val="baseline"/>
        <sz val="9"/>
        <color theme="1"/>
        <name val="Aptos Narrow"/>
        <family val="2"/>
        <scheme val="minor"/>
      </font>
      <alignment horizontal="general"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1"/>
        <color rgb="FFFF0000"/>
        <name val="Aptos Narrow"/>
        <family val="2"/>
        <scheme val="minor"/>
      </font>
      <numFmt numFmtId="170" formatCode="m/d/yy"/>
      <alignment horizontal="left" vertical="top" textRotation="0" wrapText="1" indent="0" justifyLastLine="0" shrinkToFit="0" readingOrder="0"/>
    </dxf>
    <dxf>
      <font>
        <strike val="0"/>
        <outline val="0"/>
        <shadow val="0"/>
        <u val="none"/>
        <vertAlign val="baseline"/>
        <sz val="11"/>
        <color rgb="FFFF0000"/>
        <name val="Aptos Narrow"/>
        <family val="2"/>
        <scheme val="minor"/>
      </font>
      <numFmt numFmtId="168" formatCode="dd/mm/yyyy"/>
      <fill>
        <patternFill patternType="none">
          <fgColor indexed="64"/>
          <bgColor auto="1"/>
        </patternFill>
      </fill>
      <alignment horizontal="left" vertical="top" textRotation="0" wrapText="1" indent="0" justifyLastLine="0" shrinkToFit="0" readingOrder="0"/>
    </dxf>
    <dxf>
      <numFmt numFmtId="164" formatCode="[$-409]mmmm\-yy;@"/>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dxf>
    <dxf>
      <alignment horizontal="general" vertical="top" textRotation="0" wrapText="1" indent="0" justifyLastLine="0" shrinkToFit="0" readingOrder="0"/>
    </dxf>
    <dxf>
      <numFmt numFmtId="165" formatCode="[$-409]mmm\-yy;@"/>
      <alignment horizontal="general" vertical="top" textRotation="0" wrapText="1" indent="0" justifyLastLine="0" shrinkToFit="0" readingOrder="0"/>
    </dxf>
    <dxf>
      <alignment horizontal="general"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
      <numFmt numFmtId="168" formatCode="dd/mm/yyyy"/>
      <alignment horizontal="left" vertical="top" textRotation="0" wrapText="1" indent="0" justifyLastLine="0" shrinkToFit="0" readingOrder="0"/>
    </dxf>
    <dxf>
      <alignment horizontal="left" vertical="top" textRotation="0" wrapText="1" indent="0" justifyLastLine="0" shrinkToFit="0" readingOrder="0"/>
    </dxf>
    <dxf>
      <numFmt numFmtId="168" formatCode="dd/mm/yyyy"/>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general"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font>
      <alignment horizontal="left" vertical="top" textRotation="0" wrapText="1" indent="0" justifyLastLine="0" shrinkToFit="0" readingOrder="0"/>
    </dxf>
    <dxf>
      <numFmt numFmtId="168" formatCode="dd/mm/yyyy"/>
    </dxf>
    <dxf>
      <numFmt numFmtId="168" formatCode="dd/mm/yyyy"/>
    </dxf>
    <dxf>
      <numFmt numFmtId="0" formatCode="General"/>
    </dxf>
    <dxf>
      <numFmt numFmtId="0" formatCode="General"/>
    </dxf>
    <dxf>
      <numFmt numFmtId="0" formatCode="Genera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5.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1" xr16:uid="{00000000-0016-0000-0300-000000000000}" autoFormatId="16" applyNumberFormats="0" applyBorderFormats="0" applyFontFormats="0" applyPatternFormats="0" applyAlignmentFormats="0" applyWidthHeightFormats="0">
  <queryTableRefresh nextId="26">
    <queryTableFields count="18">
      <queryTableField id="1" name="WP No." tableColumnId="1"/>
      <queryTableField id="2" name="Work Package" tableColumnId="2"/>
      <queryTableField id="3" name="Action No" tableColumnId="3"/>
      <queryTableField id="4" name="Indicative Action" tableColumnId="4"/>
      <queryTableField id="16" name="Sub-Action" tableColumnId="15"/>
      <queryTableField id="5" name="WP Leads" tableColumnId="5"/>
      <queryTableField id="6" name="Action Lead(s)" tableColumnId="6"/>
      <queryTableField id="7" name="Action Support(s)" tableColumnId="7"/>
      <queryTableField id="8" name="ActionEntity(s)" tableColumnId="8"/>
      <queryTableField id="9" name="Milestone 1" tableColumnId="9"/>
      <queryTableField id="10" name="Milestone 1 Deadline" tableColumnId="10"/>
      <queryTableField id="11" name="Milestone Final" tableColumnId="11"/>
      <queryTableField id="12" name="Milestone Final Deadline" tableColumnId="12"/>
      <queryTableField id="13" name="Sense-checked" tableColumnId="13"/>
      <queryTableField id="14" name="Notes" tableColumnId="14"/>
      <queryTableField id="22" name="UpcomingMilestone" tableColumnId="18"/>
      <queryTableField id="23" name="DeliveryDate" tableColumnId="19"/>
      <queryTableField id="24" name="Updates"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query (9)" backgroundRefresh="0" connectionId="3" xr16:uid="{00000000-0016-0000-0700-000001000000}" autoFormatId="16" applyNumberFormats="0" applyBorderFormats="0" applyFontFormats="0" applyPatternFormats="0" applyAlignmentFormats="0" applyWidthHeightFormats="0">
  <queryTableRefresh nextId="17">
    <queryTableFields count="16">
      <queryTableField id="1" name="Action No." tableColumnId="1"/>
      <queryTableField id="2" name="Work Package" tableColumnId="2"/>
      <queryTableField id="3" name="Indicative Action" tableColumnId="3"/>
      <queryTableField id="4" name="WP Leads" tableColumnId="4"/>
      <queryTableField id="7" name="Action Member(s)" tableColumnId="5"/>
      <queryTableField id="8" name="Action Support(s)" tableColumnId="6"/>
      <queryTableField id="5" name="Milestone 1" tableColumnId="7"/>
      <queryTableField id="6" name="Milestone 1 Deadline" tableColumnId="8"/>
      <queryTableField id="10" name="Milestone Final" tableColumnId="9"/>
      <queryTableField id="11" name="Milestone Final - Deadline" tableColumnId="10"/>
      <queryTableField id="13" name="Modified" tableColumnId="11"/>
      <queryTableField id="14" name="Modified By" tableColumnId="12"/>
      <queryTableField id="12" name="ID" tableColumnId="13"/>
      <queryTableField id="9" name="Master-List-ID" tableColumnId="14"/>
      <queryTableField id="16" name="Item Type" tableColumnId="15"/>
      <queryTableField id="15" name="Path" tableColumnId="16"/>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9FCD1D-8374-457D-A3F2-29072B0FFF5C}" name="Table2" displayName="Table2" ref="A2:B36" totalsRowShown="0">
  <autoFilter ref="A2:B36" xr:uid="{B8930A64-2EE7-F643-A70E-DB46CF28815C}"/>
  <sortState xmlns:xlrd2="http://schemas.microsoft.com/office/spreadsheetml/2017/richdata2" ref="A3:B36">
    <sortCondition ref="A2:A36"/>
  </sortState>
  <tableColumns count="2">
    <tableColumn id="1" xr3:uid="{D195E2C5-048B-4713-95C0-0AF078A89811}" name="Principals "/>
    <tableColumn id="2" xr3:uid="{7EFB8C1C-9891-410E-B9C4-874BC268225F}" name="Focal Points submitted "/>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1FFEE0-DC8E-45EA-B53C-8B6D15D9C1FE}" name="UN80_Action_Plan__2" displayName="UN80_Action_Plan__2" ref="A1:AA92" totalsRowShown="0">
  <autoFilter ref="A1:AA92" xr:uid="{401FFEE0-DC8E-45EA-B53C-8B6D15D9C1FE}"/>
  <tableColumns count="27">
    <tableColumn id="1" xr3:uid="{6E2CD2BA-C5F2-449F-9174-EC3C2598ABA2}" name="FileSystemObjectType"/>
    <tableColumn id="2" xr3:uid="{295519C2-B610-468F-B66B-2BEC01BE7F3F}" name="Id"/>
    <tableColumn id="3" xr3:uid="{55594DD6-7BC1-4C29-A45B-7940380F74D4}" name="ServerRedirectedEmbedUri"/>
    <tableColumn id="4" xr3:uid="{8D993C35-8B04-47F9-B460-608DCD3C604A}" name="ServerRedirectedEmbedUrl"/>
    <tableColumn id="5" xr3:uid="{A793A426-82AB-4D77-A8E4-92D6F39390D4}" name="ContentTypeId"/>
    <tableColumn id="6" xr3:uid="{913F93EF-5A31-4D0A-89AA-A5586D61333D}" name="Title"/>
    <tableColumn id="7" xr3:uid="{32BEFAD8-159C-491E-9396-51AB0F0A3B54}" name="OData__ColorTag"/>
    <tableColumn id="8" xr3:uid="{F27CCE94-47F4-4481-B9E0-F24DB5AE5F95}" name="ComplianceAssetId"/>
    <tableColumn id="9" xr3:uid="{591DE224-E9C1-4F04-827C-A03137FF78C3}" name="Action No."/>
    <tableColumn id="10" xr3:uid="{66181FA0-111E-4135-B399-8479E45E7028}" name="Work Package"/>
    <tableColumn id="11" xr3:uid="{951414EE-9973-4998-BB5B-B4B2B69749E1}" name="Indicative Action"/>
    <tableColumn id="12" xr3:uid="{85BF6DFD-EF8A-45D9-8FC1-15FA3B98FCE1}" name="WP Leads" dataDxfId="122"/>
    <tableColumn id="13" xr3:uid="{72E7810D-2436-40CF-BF9F-712643EDFA08}" name="Milestone 1"/>
    <tableColumn id="14" xr3:uid="{9448418D-8398-4824-8F95-3FE22F2199E3}" name="Milestone 1 Deadline"/>
    <tableColumn id="15" xr3:uid="{7A120512-4F7C-43CD-8A31-F3F46B46E511}" name="Action Lead(s)"/>
    <tableColumn id="16" xr3:uid="{81A7803F-A108-46F0-876B-08544758CFC3}" name="Action Support(s)"/>
    <tableColumn id="17" xr3:uid="{5824B1F8-7BAE-4881-8DEB-373E09973F17}" name="Master-List-ID"/>
    <tableColumn id="18" xr3:uid="{F142C708-E026-4EF1-A50B-0C14D06AF26A}" name="Milestone Final"/>
    <tableColumn id="19" xr3:uid="{18F73DE9-2224-4966-A7D9-06F95AC33099}" name="Milestone Final Deadline"/>
    <tableColumn id="20" xr3:uid="{1D2AB804-E3E0-4BEE-99A2-BB531FE1E421}" name="ID2"/>
    <tableColumn id="21" xr3:uid="{D265A0CA-8E16-41C7-B92F-0C1E67F65F05}" name="Modified"/>
    <tableColumn id="22" xr3:uid="{5DD099B1-5BA7-4704-BBAE-5F470C53ED2A}" name="Created"/>
    <tableColumn id="23" xr3:uid="{DD39FC8E-3E5D-459C-A0D2-5B9499E46074}" name="AuthorId"/>
    <tableColumn id="24" xr3:uid="{52E7FC62-595E-44D0-99A3-D26B1FC04497}" name="EditorId"/>
    <tableColumn id="25" xr3:uid="{224AE26C-696B-4D29-9D9D-29D098C71889}" name="OData__UIVersionString"/>
    <tableColumn id="26" xr3:uid="{574D11A8-2168-4AE3-AEC4-C0813C1A5ECC}" name="Attachments"/>
    <tableColumn id="27" xr3:uid="{144D650E-3F7A-4BCA-BD37-AA2D0A05F1E0}" name="GUID"/>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3CAB31-CD3D-40E5-AE12-3366E4EE407F}" name="UN80_Action_Plan" displayName="UN80_Action_Plan" ref="A1:N93" totalsRowShown="0">
  <autoFilter ref="A1:N93" xr:uid="{B33CAB31-CD3D-40E5-AE12-3366E4EE407F}"/>
  <tableColumns count="14">
    <tableColumn id="47" xr3:uid="{06583EF9-6588-422F-9C4A-ECC4F1FF654D}" name="WP No."/>
    <tableColumn id="10" xr3:uid="{35855E34-7811-4EC7-B403-B14AD7C76D6E}" name="Work Package"/>
    <tableColumn id="48" xr3:uid="{63A9BAAC-F34D-44E1-BCF2-42066E56F8C5}" name="Action No"/>
    <tableColumn id="11" xr3:uid="{201E0E52-DACD-43A7-98B8-4A4391C79A35}" name="Indicative Action"/>
    <tableColumn id="12" xr3:uid="{78D90189-0402-4E25-B439-467FBF041EFD}" name="WP Leads" dataDxfId="121"/>
    <tableColumn id="15" xr3:uid="{ACFEBBF6-0AA1-4396-8E30-73D0645B295F}" name="Action Lead(s)"/>
    <tableColumn id="16" xr3:uid="{E2933E43-1371-4A0A-AA71-B4DE9BFD9EC9}" name="Action Support(s)"/>
    <tableColumn id="30" xr3:uid="{F992248C-A6F0-4031-AC69-D98ACE5BA7FF}" name="ActionEntity(s)" dataDxfId="120"/>
    <tableColumn id="13" xr3:uid="{4FA25F14-BA41-4314-8C32-49245191E7FE}" name="Milestone 1"/>
    <tableColumn id="14" xr3:uid="{6BABC9D8-1524-4A65-A2B0-80406337DC44}" name="Milestone 1 Deadline" dataDxfId="119"/>
    <tableColumn id="18" xr3:uid="{5C10825A-A17E-44C8-9714-0571E7BF1564}" name="Milestone Final"/>
    <tableColumn id="19" xr3:uid="{3E3FBE58-2107-4F60-A277-648B563E6034}" name="Milestone Final Deadline" dataDxfId="118"/>
    <tableColumn id="31" xr3:uid="{2C186491-A00D-4F02-B89B-8D81FC96C555}" name="Sense-checked"/>
    <tableColumn id="32" xr3:uid="{93E2A376-A761-4BE7-9557-AE7C73AF8F62}" name="Note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F25247-B571-4200-91E4-3413ECC5289B}" name="UN80_Action_Plan__2_1" displayName="UN80_Action_Plan__2_1" ref="A5:R96" tableType="queryTable" totalsRowShown="0" headerRowDxfId="117" dataDxfId="116">
  <autoFilter ref="A5:R96" xr:uid="{77F25247-B571-4200-91E4-3413ECC5289B}"/>
  <tableColumns count="18">
    <tableColumn id="1" xr3:uid="{E7E06428-4820-489F-99F1-D5C532FDA705}" uniqueName="1" name="WP No." queryTableFieldId="1" dataDxfId="115"/>
    <tableColumn id="2" xr3:uid="{FD08B2A8-F1C8-4177-9A8A-A1F8C459471A}" uniqueName="2" name="Work Package" queryTableFieldId="2" dataDxfId="114"/>
    <tableColumn id="3" xr3:uid="{A4161F71-1AE8-4134-90A6-7FE149437F99}" uniqueName="3" name="Action No" queryTableFieldId="3" dataDxfId="113"/>
    <tableColumn id="4" xr3:uid="{BAF43529-771A-49C1-AEE4-BF7D8716887A}" uniqueName="4" name="Indicative Action" queryTableFieldId="4" dataDxfId="112"/>
    <tableColumn id="15" xr3:uid="{BC67AC59-AF14-40FE-96CA-F60B9D521EE1}" uniqueName="15" name="Sub-Action" queryTableFieldId="16" dataDxfId="111"/>
    <tableColumn id="5" xr3:uid="{DAF075DD-0396-4CA0-85B2-4BB9F480C97F}" uniqueName="5" name="WP Leads" queryTableFieldId="5" dataDxfId="110"/>
    <tableColumn id="6" xr3:uid="{2D899DBD-09EA-4625-9595-7389D2F81150}" uniqueName="6" name="Action Lead(s)" queryTableFieldId="6" dataDxfId="109"/>
    <tableColumn id="7" xr3:uid="{4AE6D6D0-B3BA-475B-A736-ABA33A5ECB6F}" uniqueName="7" name="Action Support(s)" queryTableFieldId="7" dataDxfId="108"/>
    <tableColumn id="8" xr3:uid="{2D60850C-BF07-4BBC-AF5A-342A0AE5B4EC}" uniqueName="8" name="ActionEntity(s)" queryTableFieldId="8" dataDxfId="107"/>
    <tableColumn id="9" xr3:uid="{0E405321-FA18-4C86-B533-8E9ACA43E0BD}" uniqueName="9" name="Milestone 1" queryTableFieldId="9" dataDxfId="106"/>
    <tableColumn id="10" xr3:uid="{C417D8B5-6DAA-4F7C-BDF4-184B3E645295}" uniqueName="10" name="Milestone 1 Deadline" queryTableFieldId="10" dataDxfId="105"/>
    <tableColumn id="11" xr3:uid="{F37B25B6-3EF6-4CB2-AE52-3A52AE48740F}" uniqueName="11" name="Milestone Final" queryTableFieldId="11" dataDxfId="104"/>
    <tableColumn id="12" xr3:uid="{C6435F96-A062-4512-82DB-D972F418227F}" uniqueName="12" name="Milestone Final Deadline" queryTableFieldId="12" dataDxfId="103"/>
    <tableColumn id="13" xr3:uid="{C7A260A8-AAAA-4EAB-AF52-F287086B9D5E}" uniqueName="13" name="Sense-checked" queryTableFieldId="13" dataDxfId="102"/>
    <tableColumn id="14" xr3:uid="{921188E8-8ACF-4344-8DFB-0C38A6D265BA}" uniqueName="14" name="Notes" queryTableFieldId="14" dataDxfId="101"/>
    <tableColumn id="18" xr3:uid="{F378D592-4375-46BA-AA64-9A5B2FC92146}" uniqueName="18" name="UpcomingMilestone" queryTableFieldId="22" dataDxfId="100"/>
    <tableColumn id="19" xr3:uid="{47AB9AB9-7B01-49BA-8EA6-25AEEEEE5872}" uniqueName="19" name="DeliveryDate" queryTableFieldId="23" dataDxfId="99"/>
    <tableColumn id="20" xr3:uid="{6880774C-1FD2-4AA4-B9C0-6FB96A54E580}" uniqueName="20" name="Updates" queryTableFieldId="24" dataDxfId="9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35C0DAF-EE29-4B7C-83C2-46B25B1FAE9E}" name="Table8" displayName="Table8" ref="AH5:AO96" totalsRowShown="0" headerRowDxfId="97" dataDxfId="96">
  <autoFilter ref="AH5:AO96" xr:uid="{D35C0DAF-EE29-4B7C-83C2-46B25B1FAE9E}"/>
  <sortState xmlns:xlrd2="http://schemas.microsoft.com/office/spreadsheetml/2017/richdata2" ref="AH6:AO95">
    <sortCondition ref="AM5:AM95"/>
  </sortState>
  <tableColumns count="8">
    <tableColumn id="9" xr3:uid="{4D99B7AF-1635-447D-B61E-8826C3C76D50}" name="Notes from Task Force" dataDxfId="95"/>
    <tableColumn id="11" xr3:uid="{D87F7A68-8F2A-4BC6-9677-B3FA7A3E8BBD}" name="Notes on FP/working team level" dataDxfId="94"/>
    <tableColumn id="2" xr3:uid="{523D2D20-DE3E-47F0-AA3A-28851CA24F5C}" name="Questions on Initial Milestone" dataDxfId="93"/>
    <tableColumn id="3" xr3:uid="{FF89DA40-9CAF-46C5-A3D5-E0A3E25162E0}" name="Notes on Initial Milestone" dataDxfId="92"/>
    <tableColumn id="1" xr3:uid="{90B96541-6E46-4AC0-AFA6-C1347893100E}" name="Questions on Final Milestone" dataDxfId="91"/>
    <tableColumn id="7" xr3:uid="{8F875C8F-FF1E-448B-BABF-7E2C10D79CEA}" name="WP No." dataDxfId="90"/>
    <tableColumn id="8" xr3:uid="{4DA16F4A-DBF9-4011-A084-B644FB0B1242}" name="Action No" dataDxfId="89"/>
    <tableColumn id="4" xr3:uid="{6B137171-3120-4297-95FE-BA1DEFCE4E49}" name="Column1" dataDxfId="88">
      <calculatedColumnFormula>IF(UN80_Action_Plan__2_1[[#This Row],[Action No]]=Table8[[#This Row],[Action No]],1,0)</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8C2D74A-798B-4C3D-9519-DE302135EB5C}" name="Table9" displayName="Table9" ref="AR5:AU96" totalsRowShown="0" headerRowDxfId="87" dataDxfId="86">
  <autoFilter ref="AR5:AU96" xr:uid="{F8C2D74A-798B-4C3D-9519-DE302135EB5C}"/>
  <sortState xmlns:xlrd2="http://schemas.microsoft.com/office/spreadsheetml/2017/richdata2" ref="AR6:AU96">
    <sortCondition ref="AS5:AS96"/>
  </sortState>
  <tableColumns count="4">
    <tableColumn id="5" xr3:uid="{00C9BC67-A411-4A1F-AD8A-8ED561797018}" name="Risk (Bureaucracy; Buy-in; Progress Stagnation; etc.)" dataDxfId="85"/>
    <tableColumn id="6" xr3:uid="{384185E7-EEAF-456C-91C4-77548B431CBA}" name="WP No." dataDxfId="84"/>
    <tableColumn id="7" xr3:uid="{F1FDF5BB-915F-454D-80A9-594F79F46B20}" name="Action No" dataDxfId="83"/>
    <tableColumn id="9" xr3:uid="{89A7C9CD-D033-4985-9AB8-0861A3EF52A6}" name="Column1" dataDxfId="82">
      <calculatedColumnFormula>IF(UN80_Action_Plan__2_1[[#This Row],[Action No]]=Table9[[#This Row],[Action No]],1,0)</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C4BC93D-F11D-4FE2-BE84-83871E25E6B8}" name="Table10" displayName="Table10" ref="V5:AD96" totalsRowShown="0" headerRowDxfId="81" dataDxfId="80">
  <autoFilter ref="V5:AD96" xr:uid="{7C4BC93D-F11D-4FE2-BE84-83871E25E6B8}"/>
  <tableColumns count="9">
    <tableColumn id="11" xr3:uid="{AC9CD831-84DD-40AF-93B2-33BAAE81B247}" name="Upcoming Milestone" dataDxfId="79"/>
    <tableColumn id="2" xr3:uid="{4B1C3C60-2BD4-48A4-83C2-FE677A0A84AF}" name="Delivery Date" dataDxfId="78"/>
    <tableColumn id="6" xr3:uid="{31F95890-47B0-4789-9E00-839565A000FA}" name="Updates" dataDxfId="77"/>
    <tableColumn id="3" xr3:uid="{5EBBF60D-5331-764F-B463-6B376049E18F}" name="Notes and Comments" dataDxfId="76"/>
    <tableColumn id="9" xr3:uid="{5E2A03A7-4894-48FD-BA34-A8F92E881E76}" name="OLA review status" dataDxfId="75"/>
    <tableColumn id="4" xr3:uid="{239C6049-2D80-43F8-9F93-1F348D8CE4B9}" name="WP No." dataDxfId="74"/>
    <tableColumn id="5" xr3:uid="{1FB6D940-8BE5-4549-891C-2ADF4C0AFDE6}" name="Action No" dataDxfId="73"/>
    <tableColumn id="8" xr3:uid="{8CEA0AD0-6985-426B-97F9-77CB585A14F1}" name="Check" dataDxfId="72">
      <calculatedColumnFormula>IF(UN80_Action_Plan__2_1[[#This Row],[Action No]]=Table10[[#This Row],[Action No]],1,0)</calculatedColumnFormula>
    </tableColumn>
    <tableColumn id="10" xr3:uid="{4C49B6D0-1D66-2C4D-AD42-1DD0630919EE}" name="Upcoming milestone check" dataDxfId="71">
      <calculatedColumnFormula>IF(
    AND(P6=V6, INT(Q6)=INT(W6), R6=X6),
    1,
    _xlfn.TEXTJOIN(", ", TRUE,
        IF(P6&lt;&gt;V6, "Upcoming milestone mismatch", ""),
        IF(INT(Q6)&lt;&gt;INT(W6), "Delivery date mismatch", ""),
        IF(R6&lt;&gt;X6, "Updates mismatch", "")
    )
)</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9B124E-46FA-4DBE-9100-E7758346CC18}" name="Table3" displayName="Table3" ref="A4:N95" totalsRowShown="0" headerRowDxfId="70" dataDxfId="69">
  <autoFilter ref="A4:N95" xr:uid="{489B124E-46FA-4DBE-9100-E7758346CC18}"/>
  <tableColumns count="14">
    <tableColumn id="1" xr3:uid="{C908E3E5-F5BC-4953-957D-A686538D6E73}" name="WP No." dataDxfId="68">
      <calculatedColumnFormula>'Action Tracking'!A6</calculatedColumnFormula>
    </tableColumn>
    <tableColumn id="2" xr3:uid="{C489FD30-DB9F-4E8B-8F13-16743DD0DF2B}" name="Work Package" dataDxfId="67">
      <calculatedColumnFormula>'Action Tracking'!B6</calculatedColumnFormula>
    </tableColumn>
    <tableColumn id="3" xr3:uid="{F2AAF34A-DB68-4348-ADB7-DFEED174AD6D}" name="Action" dataDxfId="66">
      <calculatedColumnFormula>'Action Tracking'!C6</calculatedColumnFormula>
    </tableColumn>
    <tableColumn id="4" xr3:uid="{50776B07-4085-4CC1-B872-C116C7676F9D}" name="Action Text" dataDxfId="65">
      <calculatedColumnFormula>'Action Tracking'!D6</calculatedColumnFormula>
    </tableColumn>
    <tableColumn id="6" xr3:uid="{1958DD09-FAFA-498D-86FB-C985E5DAA427}" name="WP Leads" dataDxfId="64">
      <calculatedColumnFormula>'Action Tracking'!F6</calculatedColumnFormula>
    </tableColumn>
    <tableColumn id="9" xr3:uid="{D6846655-7FF0-412E-A39F-0A37931B017C}" name="ActionEntity(s)" dataDxfId="63">
      <calculatedColumnFormula>'Action Tracking'!I6</calculatedColumnFormula>
    </tableColumn>
    <tableColumn id="10" xr3:uid="{EF2BE5F4-1251-4AC8-9F2E-66A12519756C}" name="Internal: Milestone 1" dataDxfId="62">
      <calculatedColumnFormula>'Action Tracking'!J6</calculatedColumnFormula>
    </tableColumn>
    <tableColumn id="11" xr3:uid="{1E6D1175-9554-4478-82D2-BD4EA9C50206}" name="Internal:_x000a_Milestone 1 Deadline" dataDxfId="61">
      <calculatedColumnFormula>'Action Tracking'!K6</calculatedColumnFormula>
    </tableColumn>
    <tableColumn id="12" xr3:uid="{0D61028E-71B4-4F60-AFA2-DF2F424CB36B}" name="Internal:_x000a_Milestone Final" dataDxfId="60">
      <calculatedColumnFormula>'Action Tracking'!L6</calculatedColumnFormula>
    </tableColumn>
    <tableColumn id="13" xr3:uid="{62AEB022-48F5-455E-8C7E-54525200BDD1}" name="Internal:_x000a_Milestone Final Deadline" dataDxfId="59">
      <calculatedColumnFormula>'Action Tracking'!M6</calculatedColumnFormula>
    </tableColumn>
    <tableColumn id="14" xr3:uid="{A6AB91B6-5EB9-451D-9D09-E15AC37BD5B2}" name="Public: _x000a_Upcoming Milestone" dataDxfId="58">
      <calculatedColumnFormula>'Action Tracking'!V6</calculatedColumnFormula>
    </tableColumn>
    <tableColumn id="15" xr3:uid="{E2F72709-8CD3-4D3E-8E74-25B4F6DA4773}" name="Public: _x000a_Delivery Date" dataDxfId="57">
      <calculatedColumnFormula>'Action Tracking'!W6</calculatedColumnFormula>
    </tableColumn>
    <tableColumn id="16" xr3:uid="{C3B984AA-4F1F-4061-814C-BB07205FC87D}" name="Public: _x000a_Updates" dataDxfId="56">
      <calculatedColumnFormula>'Action Tracking'!X6</calculatedColumnFormula>
    </tableColumn>
    <tableColumn id="18" xr3:uid="{44BAD36D-C31E-4959-9D30-92F0F5517C86}" name="OLA" dataDxfId="55">
      <calculatedColumnFormula>'Action Tracking'!Z6</calculatedColumnFormula>
    </tableColumn>
  </tableColumns>
  <tableStyleInfo name="TableStyleLight15"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FEC8D3-9287-4C26-89F7-CB133C3DCFB1}" name="Table7" displayName="Table7" ref="B2:F8" totalsRowShown="0" dataDxfId="54">
  <autoFilter ref="B2:F8" xr:uid="{E6FEC8D3-9287-4C26-89F7-CB133C3DCFB1}"/>
  <tableColumns count="5">
    <tableColumn id="1" xr3:uid="{AA96CEFA-55AF-4593-8FC0-84E30B136E6B}" name="Entities" dataDxfId="53"/>
    <tableColumn id="2" xr3:uid="{0757BDCD-BB67-44D9-9405-88D04C519FCD}" name="FP submitted" dataDxfId="52"/>
    <tableColumn id="3" xr3:uid="{5F98DF7F-7FD7-4EC1-A7AC-A27295D4EBE9}" name="Inputted to Hub" dataDxfId="51"/>
    <tableColumn id="4" xr3:uid="{B7D50C85-F16F-4B8A-BB07-0E41900F2E5E}" name="FP inputted to email group" dataDxfId="50"/>
    <tableColumn id="5" xr3:uid="{32641D40-66C3-43FB-B062-7B67D97AB8D3}" name="Principal and FP inputted to WP All" dataDxfId="49"/>
  </tableColumns>
  <tableStyleInfo name="TableStyleLight1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0B04C7-EE56-45F5-8F8D-588342517B51}" name="Table_query__9" displayName="Table_query__9" ref="A1:P92" tableType="queryTable" totalsRowShown="0">
  <autoFilter ref="A1:P92" xr:uid="{3C0B04C7-EE56-45F5-8F8D-588342517B51}"/>
  <tableColumns count="16">
    <tableColumn id="1" xr3:uid="{934D3436-66A0-4B7D-998F-88B1E90D0A09}" uniqueName="ActionNo_x005f_x002e_" name="Action No." queryTableFieldId="1" dataDxfId="48"/>
    <tableColumn id="2" xr3:uid="{4583FED3-1B92-4A30-BD89-7C7FBFB65FD5}" uniqueName="WorkPackage" name="Work Package" queryTableFieldId="2" dataDxfId="47"/>
    <tableColumn id="3" xr3:uid="{FCD3B7BB-ECB8-4B24-A292-EFEEFCD1D85D}" uniqueName="IndicativeAction" name="Indicative Action" queryTableFieldId="3" dataDxfId="46"/>
    <tableColumn id="4" xr3:uid="{EB4A18E7-9C61-49E4-90DE-B073A95E143F}" uniqueName="WPLeads" name="WP Leads" queryTableFieldId="4" dataDxfId="45"/>
    <tableColumn id="5" xr3:uid="{F7B94B11-A05D-4A7A-A2ED-3D828A8AF50E}" uniqueName="ActionLead_x005f_x0028_s_x005f_x0029__x005f_x002f_" name="Action Member(s)" queryTableFieldId="7" dataDxfId="44"/>
    <tableColumn id="6" xr3:uid="{199424A4-8C1B-495E-AE17-12FC800EAB22}" uniqueName="ActionSupport_x005f_x0028_s_x005f_x0029_" name="Action Support(s)" queryTableFieldId="8" dataDxfId="43"/>
    <tableColumn id="7" xr3:uid="{ED7064F0-1625-41C1-A0E2-0FFA51ADB495}" uniqueName="Milestone1" name="Milestone 1" queryTableFieldId="5" dataDxfId="42"/>
    <tableColumn id="8" xr3:uid="{A363509C-8345-4E8A-85E3-5446CB85BD54}" uniqueName="Milestone1Deadline" name="Milestone 1 Deadline" queryTableFieldId="6" dataDxfId="41"/>
    <tableColumn id="9" xr3:uid="{CE513DA9-851D-4B4A-882A-38368903E455}" uniqueName="Milestone_x005f_x002d_Final" name="Milestone Final" queryTableFieldId="10" dataDxfId="40"/>
    <tableColumn id="10" xr3:uid="{21E76D80-CB44-4499-8973-FB8623801D20}" uniqueName="MilestoneFinal_x005f_x002d_Deadline" name="Milestone Final - Deadline" queryTableFieldId="11" dataDxfId="39"/>
    <tableColumn id="11" xr3:uid="{DBFEF578-5E21-4319-9419-58BA36BCB4B2}" uniqueName="Modified" name="Modified" queryTableFieldId="13" dataDxfId="38"/>
    <tableColumn id="12" xr3:uid="{66138738-15F5-48B3-A87C-1BF3620B6359}" uniqueName="Editor" name="Modified By" queryTableFieldId="14" dataDxfId="37"/>
    <tableColumn id="13" xr3:uid="{A53EAB26-0B5B-42B8-9874-19112A21970D}" uniqueName="ID" name="ID" queryTableFieldId="12" dataDxfId="36"/>
    <tableColumn id="14" xr3:uid="{EA115AD1-9BA1-47BD-8CA6-3646B1B75106}" uniqueName="Master_x005f_x002d_List_x005f_x002d_ID" name="Master-List-ID" queryTableFieldId="9" dataDxfId="35"/>
    <tableColumn id="15" xr3:uid="{48BAD9C3-DC39-4DB1-93B9-8186F9C3D819}" uniqueName="FSObjType" name="Item Type" queryTableFieldId="16" dataDxfId="34"/>
    <tableColumn id="16" xr3:uid="{4EF91853-6EB9-4BE3-8DBC-2C7F972BE509}" uniqueName="FileDirRef" name="Path" queryTableFieldId="15" dataDxfId="3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2.bin"/><Relationship Id="rId5" Type="http://schemas.openxmlformats.org/officeDocument/2006/relationships/table" Target="../tables/table7.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4D0E8-E76C-44F0-8061-C4C8166ACE81}">
  <dimension ref="A1:H38"/>
  <sheetViews>
    <sheetView zoomScale="85" zoomScaleNormal="85" workbookViewId="0">
      <selection activeCell="B9" sqref="B9"/>
    </sheetView>
  </sheetViews>
  <sheetFormatPr baseColWidth="10" defaultColWidth="8.83203125" defaultRowHeight="15"/>
  <cols>
    <col min="1" max="1" width="15" customWidth="1"/>
    <col min="2" max="2" width="28.1640625" customWidth="1"/>
  </cols>
  <sheetData>
    <row r="1" spans="1:4" ht="27">
      <c r="A1" s="6" t="s">
        <v>0</v>
      </c>
    </row>
    <row r="2" spans="1:4">
      <c r="A2" t="s">
        <v>1</v>
      </c>
      <c r="B2" t="s">
        <v>2</v>
      </c>
    </row>
    <row r="3" spans="1:4" ht="16">
      <c r="A3" s="7" t="s">
        <v>3</v>
      </c>
      <c r="B3" t="s">
        <v>4</v>
      </c>
    </row>
    <row r="4" spans="1:4" ht="16">
      <c r="A4" s="7" t="s">
        <v>5</v>
      </c>
      <c r="B4" t="s">
        <v>4</v>
      </c>
    </row>
    <row r="5" spans="1:4" ht="16">
      <c r="A5" t="s">
        <v>6</v>
      </c>
      <c r="B5" t="s">
        <v>4</v>
      </c>
    </row>
    <row r="6" spans="1:4" ht="16">
      <c r="A6" s="7" t="s">
        <v>7</v>
      </c>
      <c r="B6" t="s">
        <v>4</v>
      </c>
    </row>
    <row r="7" spans="1:4" ht="16">
      <c r="A7" t="s">
        <v>8</v>
      </c>
      <c r="B7" t="s">
        <v>4</v>
      </c>
      <c r="D7" s="9"/>
    </row>
    <row r="8" spans="1:4" ht="16">
      <c r="A8" s="7" t="s">
        <v>9</v>
      </c>
      <c r="B8" t="s">
        <v>4</v>
      </c>
      <c r="D8">
        <f>54%*87</f>
        <v>46.980000000000004</v>
      </c>
    </row>
    <row r="9" spans="1:4" ht="16">
      <c r="A9" t="s">
        <v>10</v>
      </c>
      <c r="B9" t="s">
        <v>4</v>
      </c>
    </row>
    <row r="10" spans="1:4" ht="16">
      <c r="A10" s="7" t="s">
        <v>11</v>
      </c>
      <c r="B10" t="s">
        <v>4</v>
      </c>
    </row>
    <row r="11" spans="1:4" ht="16">
      <c r="A11" s="7" t="s">
        <v>12</v>
      </c>
      <c r="B11" t="s">
        <v>4</v>
      </c>
    </row>
    <row r="12" spans="1:4" ht="16">
      <c r="A12" s="7" t="s">
        <v>13</v>
      </c>
      <c r="B12" t="s">
        <v>4</v>
      </c>
    </row>
    <row r="13" spans="1:4" ht="16">
      <c r="A13" s="7" t="s">
        <v>14</v>
      </c>
      <c r="B13" t="s">
        <v>4</v>
      </c>
    </row>
    <row r="14" spans="1:4" ht="16">
      <c r="A14" s="7" t="s">
        <v>15</v>
      </c>
      <c r="B14" t="s">
        <v>4</v>
      </c>
    </row>
    <row r="15" spans="1:4" ht="16">
      <c r="A15" s="7" t="s">
        <v>16</v>
      </c>
      <c r="B15" t="s">
        <v>4</v>
      </c>
    </row>
    <row r="16" spans="1:4" ht="16">
      <c r="A16" s="7" t="s">
        <v>17</v>
      </c>
      <c r="B16" t="s">
        <v>4</v>
      </c>
    </row>
    <row r="17" spans="1:8" ht="16">
      <c r="A17" t="s">
        <v>18</v>
      </c>
      <c r="B17" t="s">
        <v>4</v>
      </c>
    </row>
    <row r="18" spans="1:8" ht="16">
      <c r="A18" s="7" t="s">
        <v>19</v>
      </c>
      <c r="B18" t="s">
        <v>4</v>
      </c>
    </row>
    <row r="19" spans="1:8" ht="16">
      <c r="A19" s="7" t="s">
        <v>20</v>
      </c>
      <c r="B19" t="s">
        <v>4</v>
      </c>
    </row>
    <row r="20" spans="1:8" ht="16">
      <c r="A20" s="7" t="s">
        <v>21</v>
      </c>
      <c r="B20" t="s">
        <v>4</v>
      </c>
    </row>
    <row r="21" spans="1:8" ht="16">
      <c r="A21" t="s">
        <v>22</v>
      </c>
      <c r="B21" t="s">
        <v>4</v>
      </c>
    </row>
    <row r="22" spans="1:8">
      <c r="A22" t="s">
        <v>23</v>
      </c>
      <c r="B22" t="s">
        <v>4</v>
      </c>
    </row>
    <row r="23" spans="1:8" ht="16">
      <c r="A23" t="s">
        <v>24</v>
      </c>
      <c r="B23" t="s">
        <v>4</v>
      </c>
    </row>
    <row r="24" spans="1:8" ht="16">
      <c r="A24" s="7" t="s">
        <v>25</v>
      </c>
      <c r="B24" t="s">
        <v>4</v>
      </c>
    </row>
    <row r="25" spans="1:8" ht="16">
      <c r="A25" t="s">
        <v>26</v>
      </c>
      <c r="B25" t="s">
        <v>4</v>
      </c>
    </row>
    <row r="26" spans="1:8" ht="16">
      <c r="A26" t="s">
        <v>27</v>
      </c>
      <c r="B26" t="s">
        <v>4</v>
      </c>
    </row>
    <row r="27" spans="1:8">
      <c r="A27" t="s">
        <v>28</v>
      </c>
      <c r="B27" t="s">
        <v>4</v>
      </c>
    </row>
    <row r="28" spans="1:8" ht="16">
      <c r="A28" t="s">
        <v>29</v>
      </c>
      <c r="B28" t="s">
        <v>4</v>
      </c>
    </row>
    <row r="29" spans="1:8" ht="16">
      <c r="A29" t="s">
        <v>30</v>
      </c>
      <c r="B29" t="s">
        <v>4</v>
      </c>
    </row>
    <row r="30" spans="1:8" ht="16">
      <c r="A30" t="s">
        <v>31</v>
      </c>
      <c r="B30" t="s">
        <v>4</v>
      </c>
      <c r="G30" s="10"/>
      <c r="H30" s="10"/>
    </row>
    <row r="31" spans="1:8">
      <c r="A31" t="s">
        <v>32</v>
      </c>
      <c r="B31" t="s">
        <v>4</v>
      </c>
      <c r="G31" s="10"/>
    </row>
    <row r="32" spans="1:8" ht="16">
      <c r="A32" t="s">
        <v>33</v>
      </c>
      <c r="B32" t="s">
        <v>4</v>
      </c>
      <c r="G32" s="10"/>
    </row>
    <row r="33" spans="1:7" ht="16">
      <c r="A33" t="s">
        <v>34</v>
      </c>
      <c r="B33" t="s">
        <v>4</v>
      </c>
      <c r="G33" s="10"/>
    </row>
    <row r="34" spans="1:7">
      <c r="A34" t="s">
        <v>35</v>
      </c>
      <c r="B34" t="s">
        <v>4</v>
      </c>
      <c r="G34" s="10"/>
    </row>
    <row r="35" spans="1:7">
      <c r="A35" t="s">
        <v>36</v>
      </c>
      <c r="B35" t="s">
        <v>4</v>
      </c>
      <c r="G35" s="10"/>
    </row>
    <row r="36" spans="1:7" ht="16">
      <c r="A36" s="7" t="s">
        <v>37</v>
      </c>
      <c r="B36" t="s">
        <v>4</v>
      </c>
      <c r="G36" s="10"/>
    </row>
    <row r="38" spans="1:7">
      <c r="B38" cm="1">
        <f t="array" ref="B38">COUNTIF(Table2[[Focal Points submitted ]], yes)</f>
        <v>0</v>
      </c>
    </row>
  </sheetData>
  <phoneticPr fontId="23" type="noConversion"/>
  <conditionalFormatting sqref="B2:B36">
    <cfRule type="containsText" dxfId="32" priority="3" operator="containsText" text="yes">
      <formula>NOT(ISERROR(SEARCH("yes",B2)))</formula>
    </cfRule>
    <cfRule type="containsText" dxfId="31" priority="4" operator="containsText" text="No">
      <formula>NOT(ISERROR(SEARCH("No",B2)))</formula>
    </cfRule>
  </conditionalFormatting>
  <pageMargins left="0.7" right="0.7" top="0.75" bottom="0.75" header="0.3" footer="0.3"/>
  <pageSetup paperSize="9"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1D4C-0068-4352-B1AB-899425514D54}">
  <dimension ref="A1:AA92"/>
  <sheetViews>
    <sheetView workbookViewId="0">
      <selection activeCell="B5" sqref="B5"/>
    </sheetView>
  </sheetViews>
  <sheetFormatPr baseColWidth="10" defaultColWidth="8.83203125" defaultRowHeight="15"/>
  <cols>
    <col min="1" max="1" width="22" bestFit="1" customWidth="1"/>
    <col min="2" max="2" width="4.5" bestFit="1" customWidth="1"/>
    <col min="3" max="4" width="26.1640625" bestFit="1" customWidth="1"/>
    <col min="5" max="5" width="77.1640625" bestFit="1" customWidth="1"/>
    <col min="6" max="6" width="6.5" bestFit="1" customWidth="1"/>
    <col min="7" max="7" width="17.5" bestFit="1" customWidth="1"/>
    <col min="8" max="8" width="19.5" bestFit="1" customWidth="1"/>
    <col min="9" max="9" width="11.5" bestFit="1" customWidth="1"/>
    <col min="10" max="10" width="45.83203125" bestFit="1" customWidth="1"/>
    <col min="11" max="11" width="80.5" bestFit="1" customWidth="1"/>
    <col min="12" max="12" width="30.83203125" bestFit="1" customWidth="1"/>
    <col min="13" max="13" width="80.5" bestFit="1" customWidth="1"/>
    <col min="14" max="14" width="20.5" bestFit="1" customWidth="1"/>
    <col min="15" max="16" width="80.5" bestFit="1" customWidth="1"/>
    <col min="17" max="17" width="14.83203125" bestFit="1" customWidth="1"/>
    <col min="18" max="18" width="80.5" bestFit="1" customWidth="1"/>
    <col min="19" max="19" width="24" bestFit="1" customWidth="1"/>
    <col min="20" max="20" width="5.6640625" bestFit="1" customWidth="1"/>
    <col min="21" max="22" width="11.83203125" bestFit="1" customWidth="1"/>
    <col min="23" max="23" width="10.5" bestFit="1" customWidth="1"/>
    <col min="24" max="24" width="9.5" bestFit="1" customWidth="1"/>
    <col min="25" max="25" width="23.1640625" bestFit="1" customWidth="1"/>
    <col min="26" max="26" width="13.83203125" bestFit="1" customWidth="1"/>
    <col min="27" max="27" width="35.6640625" bestFit="1" customWidth="1"/>
  </cols>
  <sheetData>
    <row r="1" spans="1:27">
      <c r="A1" t="s">
        <v>38</v>
      </c>
      <c r="B1" t="s">
        <v>39</v>
      </c>
      <c r="C1" t="s">
        <v>40</v>
      </c>
      <c r="D1" t="s">
        <v>41</v>
      </c>
      <c r="E1" t="s">
        <v>42</v>
      </c>
      <c r="F1" t="s">
        <v>43</v>
      </c>
      <c r="G1" t="s">
        <v>44</v>
      </c>
      <c r="H1" t="s">
        <v>45</v>
      </c>
      <c r="I1" t="s">
        <v>46</v>
      </c>
      <c r="J1" t="s">
        <v>47</v>
      </c>
      <c r="K1" t="s">
        <v>48</v>
      </c>
      <c r="L1" t="s">
        <v>49</v>
      </c>
      <c r="M1" t="s">
        <v>50</v>
      </c>
      <c r="N1" t="s">
        <v>51</v>
      </c>
      <c r="O1" t="s">
        <v>52</v>
      </c>
      <c r="P1" t="s">
        <v>53</v>
      </c>
      <c r="Q1" t="s">
        <v>54</v>
      </c>
      <c r="R1" t="s">
        <v>55</v>
      </c>
      <c r="S1" t="s">
        <v>56</v>
      </c>
      <c r="T1" t="s">
        <v>57</v>
      </c>
      <c r="U1" t="s">
        <v>58</v>
      </c>
      <c r="V1" t="s">
        <v>59</v>
      </c>
      <c r="W1" t="s">
        <v>60</v>
      </c>
      <c r="X1" t="s">
        <v>61</v>
      </c>
      <c r="Y1" t="s">
        <v>62</v>
      </c>
      <c r="Z1" t="s">
        <v>63</v>
      </c>
      <c r="AA1" t="s">
        <v>64</v>
      </c>
    </row>
    <row r="2" spans="1:27">
      <c r="A2">
        <v>0</v>
      </c>
      <c r="B2">
        <v>1</v>
      </c>
      <c r="D2" t="s">
        <v>65</v>
      </c>
      <c r="E2" t="s">
        <v>66</v>
      </c>
      <c r="I2" t="s">
        <v>67</v>
      </c>
      <c r="J2" t="s">
        <v>68</v>
      </c>
      <c r="K2" t="s">
        <v>69</v>
      </c>
      <c r="L2" t="s">
        <v>70</v>
      </c>
      <c r="M2" t="s">
        <v>71</v>
      </c>
      <c r="O2" t="s">
        <v>72</v>
      </c>
      <c r="P2" t="s">
        <v>73</v>
      </c>
      <c r="Q2">
        <v>14</v>
      </c>
      <c r="T2">
        <v>1</v>
      </c>
      <c r="U2">
        <v>45989.688113425924</v>
      </c>
      <c r="V2">
        <v>45967.005960648145</v>
      </c>
      <c r="W2">
        <v>10</v>
      </c>
      <c r="X2">
        <v>222</v>
      </c>
      <c r="Y2" t="s">
        <v>74</v>
      </c>
      <c r="Z2" t="b">
        <v>0</v>
      </c>
      <c r="AA2" t="s">
        <v>75</v>
      </c>
    </row>
    <row r="3" spans="1:27">
      <c r="A3">
        <v>0</v>
      </c>
      <c r="B3">
        <v>2</v>
      </c>
      <c r="D3" t="s">
        <v>65</v>
      </c>
      <c r="E3" t="s">
        <v>66</v>
      </c>
      <c r="I3" t="s">
        <v>76</v>
      </c>
      <c r="J3" t="s">
        <v>68</v>
      </c>
      <c r="K3" t="s">
        <v>77</v>
      </c>
      <c r="L3" t="s">
        <v>70</v>
      </c>
      <c r="M3" t="s">
        <v>78</v>
      </c>
      <c r="N3">
        <v>46111.916666666664</v>
      </c>
      <c r="O3" t="s">
        <v>79</v>
      </c>
      <c r="P3" t="s">
        <v>80</v>
      </c>
      <c r="Q3">
        <v>15</v>
      </c>
      <c r="R3" t="s">
        <v>78</v>
      </c>
      <c r="S3">
        <v>46111.916666666664</v>
      </c>
      <c r="T3">
        <v>2</v>
      </c>
      <c r="U3">
        <v>45987.718912037039</v>
      </c>
      <c r="V3">
        <v>45967.005995370368</v>
      </c>
      <c r="W3">
        <v>10</v>
      </c>
      <c r="X3">
        <v>197</v>
      </c>
      <c r="Y3" t="s">
        <v>81</v>
      </c>
      <c r="Z3" t="b">
        <v>0</v>
      </c>
      <c r="AA3" t="s">
        <v>82</v>
      </c>
    </row>
    <row r="4" spans="1:27">
      <c r="A4">
        <v>0</v>
      </c>
      <c r="B4">
        <v>3</v>
      </c>
      <c r="D4" t="s">
        <v>65</v>
      </c>
      <c r="E4" t="s">
        <v>66</v>
      </c>
      <c r="I4" t="s">
        <v>83</v>
      </c>
      <c r="J4" t="s">
        <v>84</v>
      </c>
      <c r="K4" t="s">
        <v>85</v>
      </c>
      <c r="L4" t="s">
        <v>86</v>
      </c>
      <c r="Q4">
        <v>16</v>
      </c>
      <c r="T4">
        <v>3</v>
      </c>
      <c r="U4">
        <v>45973.650011574071</v>
      </c>
      <c r="V4">
        <v>45967.006018518521</v>
      </c>
      <c r="W4">
        <v>10</v>
      </c>
      <c r="X4">
        <v>10</v>
      </c>
      <c r="Y4" t="s">
        <v>87</v>
      </c>
      <c r="Z4" t="b">
        <v>0</v>
      </c>
      <c r="AA4" t="s">
        <v>88</v>
      </c>
    </row>
    <row r="5" spans="1:27">
      <c r="A5">
        <v>0</v>
      </c>
      <c r="B5">
        <v>4</v>
      </c>
      <c r="D5" t="s">
        <v>65</v>
      </c>
      <c r="E5" t="s">
        <v>66</v>
      </c>
      <c r="I5" t="s">
        <v>89</v>
      </c>
      <c r="J5" t="s">
        <v>84</v>
      </c>
      <c r="K5" t="s">
        <v>90</v>
      </c>
      <c r="L5" t="s">
        <v>86</v>
      </c>
      <c r="Q5">
        <v>17</v>
      </c>
      <c r="T5">
        <v>4</v>
      </c>
      <c r="U5">
        <v>45973.650011574071</v>
      </c>
      <c r="V5">
        <v>45967.006030092591</v>
      </c>
      <c r="W5">
        <v>10</v>
      </c>
      <c r="X5">
        <v>10</v>
      </c>
      <c r="Y5" t="s">
        <v>87</v>
      </c>
      <c r="Z5" t="b">
        <v>0</v>
      </c>
      <c r="AA5" t="s">
        <v>91</v>
      </c>
    </row>
    <row r="6" spans="1:27">
      <c r="A6">
        <v>0</v>
      </c>
      <c r="B6">
        <v>5</v>
      </c>
      <c r="D6" t="s">
        <v>65</v>
      </c>
      <c r="E6" t="s">
        <v>66</v>
      </c>
      <c r="I6" t="s">
        <v>92</v>
      </c>
      <c r="J6" t="s">
        <v>84</v>
      </c>
      <c r="K6" t="s">
        <v>93</v>
      </c>
      <c r="L6" t="s">
        <v>86</v>
      </c>
      <c r="Q6">
        <v>18</v>
      </c>
      <c r="T6">
        <v>5</v>
      </c>
      <c r="U6">
        <v>45967.006064814814</v>
      </c>
      <c r="V6">
        <v>45967.006064814814</v>
      </c>
      <c r="W6">
        <v>10</v>
      </c>
      <c r="X6">
        <v>10</v>
      </c>
      <c r="Y6" t="s">
        <v>94</v>
      </c>
      <c r="Z6" t="b">
        <v>0</v>
      </c>
      <c r="AA6" t="s">
        <v>95</v>
      </c>
    </row>
    <row r="7" spans="1:27">
      <c r="A7">
        <v>0</v>
      </c>
      <c r="B7">
        <v>6</v>
      </c>
      <c r="D7" t="s">
        <v>65</v>
      </c>
      <c r="E7" t="s">
        <v>66</v>
      </c>
      <c r="I7" t="s">
        <v>96</v>
      </c>
      <c r="J7" t="s">
        <v>84</v>
      </c>
      <c r="K7" t="s">
        <v>97</v>
      </c>
      <c r="L7" t="s">
        <v>86</v>
      </c>
      <c r="Q7">
        <v>20</v>
      </c>
      <c r="T7">
        <v>6</v>
      </c>
      <c r="U7">
        <v>45967.00608796296</v>
      </c>
      <c r="V7">
        <v>45967.00608796296</v>
      </c>
      <c r="W7">
        <v>10</v>
      </c>
      <c r="X7">
        <v>10</v>
      </c>
      <c r="Y7" t="s">
        <v>94</v>
      </c>
      <c r="Z7" t="b">
        <v>0</v>
      </c>
      <c r="AA7" t="s">
        <v>98</v>
      </c>
    </row>
    <row r="8" spans="1:27">
      <c r="A8">
        <v>0</v>
      </c>
      <c r="B8">
        <v>7</v>
      </c>
      <c r="D8" t="s">
        <v>65</v>
      </c>
      <c r="E8" t="s">
        <v>66</v>
      </c>
      <c r="I8" t="s">
        <v>99</v>
      </c>
      <c r="J8" t="s">
        <v>84</v>
      </c>
      <c r="K8" t="s">
        <v>100</v>
      </c>
      <c r="L8" t="s">
        <v>86</v>
      </c>
      <c r="Q8">
        <v>21</v>
      </c>
      <c r="T8">
        <v>7</v>
      </c>
      <c r="U8">
        <v>45967.006111111114</v>
      </c>
      <c r="V8">
        <v>45967.006111111114</v>
      </c>
      <c r="W8">
        <v>10</v>
      </c>
      <c r="X8">
        <v>10</v>
      </c>
      <c r="Y8" t="s">
        <v>94</v>
      </c>
      <c r="Z8" t="b">
        <v>0</v>
      </c>
      <c r="AA8" t="s">
        <v>101</v>
      </c>
    </row>
    <row r="9" spans="1:27">
      <c r="A9">
        <v>0</v>
      </c>
      <c r="B9">
        <v>8</v>
      </c>
      <c r="D9" t="s">
        <v>65</v>
      </c>
      <c r="E9" t="s">
        <v>66</v>
      </c>
      <c r="I9" t="s">
        <v>102</v>
      </c>
      <c r="J9" t="s">
        <v>84</v>
      </c>
      <c r="K9" t="s">
        <v>103</v>
      </c>
      <c r="L9" t="s">
        <v>86</v>
      </c>
      <c r="Q9">
        <v>22</v>
      </c>
      <c r="T9">
        <v>8</v>
      </c>
      <c r="U9">
        <v>45967.006122685183</v>
      </c>
      <c r="V9">
        <v>45967.006122685183</v>
      </c>
      <c r="W9">
        <v>10</v>
      </c>
      <c r="X9">
        <v>10</v>
      </c>
      <c r="Y9" t="s">
        <v>94</v>
      </c>
      <c r="Z9" t="b">
        <v>0</v>
      </c>
      <c r="AA9" t="s">
        <v>104</v>
      </c>
    </row>
    <row r="10" spans="1:27">
      <c r="A10">
        <v>0</v>
      </c>
      <c r="B10">
        <v>9</v>
      </c>
      <c r="D10" t="s">
        <v>65</v>
      </c>
      <c r="E10" t="s">
        <v>66</v>
      </c>
      <c r="I10" t="s">
        <v>105</v>
      </c>
      <c r="J10" t="s">
        <v>84</v>
      </c>
      <c r="K10" t="s">
        <v>106</v>
      </c>
      <c r="L10" t="s">
        <v>86</v>
      </c>
      <c r="Q10">
        <v>23</v>
      </c>
      <c r="T10">
        <v>9</v>
      </c>
      <c r="U10">
        <v>45967.006157407406</v>
      </c>
      <c r="V10">
        <v>45967.006157407406</v>
      </c>
      <c r="W10">
        <v>10</v>
      </c>
      <c r="X10">
        <v>10</v>
      </c>
      <c r="Y10" t="s">
        <v>94</v>
      </c>
      <c r="Z10" t="b">
        <v>0</v>
      </c>
      <c r="AA10" t="s">
        <v>107</v>
      </c>
    </row>
    <row r="11" spans="1:27">
      <c r="A11">
        <v>0</v>
      </c>
      <c r="B11">
        <v>10</v>
      </c>
      <c r="D11" t="s">
        <v>65</v>
      </c>
      <c r="E11" t="s">
        <v>66</v>
      </c>
      <c r="I11" t="s">
        <v>108</v>
      </c>
      <c r="J11" t="s">
        <v>84</v>
      </c>
      <c r="K11" t="s">
        <v>109</v>
      </c>
      <c r="L11" t="s">
        <v>86</v>
      </c>
      <c r="Q11">
        <v>24</v>
      </c>
      <c r="T11">
        <v>10</v>
      </c>
      <c r="U11">
        <v>45967.006180555552</v>
      </c>
      <c r="V11">
        <v>45967.006180555552</v>
      </c>
      <c r="W11">
        <v>10</v>
      </c>
      <c r="X11">
        <v>10</v>
      </c>
      <c r="Y11" t="s">
        <v>94</v>
      </c>
      <c r="Z11" t="b">
        <v>0</v>
      </c>
      <c r="AA11" t="s">
        <v>110</v>
      </c>
    </row>
    <row r="12" spans="1:27">
      <c r="A12">
        <v>0</v>
      </c>
      <c r="B12">
        <v>11</v>
      </c>
      <c r="D12" t="s">
        <v>65</v>
      </c>
      <c r="E12" t="s">
        <v>66</v>
      </c>
      <c r="I12" t="s">
        <v>111</v>
      </c>
      <c r="J12" t="s">
        <v>84</v>
      </c>
      <c r="K12" t="s">
        <v>112</v>
      </c>
      <c r="L12" t="s">
        <v>86</v>
      </c>
      <c r="Q12">
        <v>25</v>
      </c>
      <c r="T12">
        <v>11</v>
      </c>
      <c r="U12">
        <v>45967.006203703706</v>
      </c>
      <c r="V12">
        <v>45967.006203703706</v>
      </c>
      <c r="W12">
        <v>10</v>
      </c>
      <c r="X12">
        <v>10</v>
      </c>
      <c r="Y12" t="s">
        <v>94</v>
      </c>
      <c r="Z12" t="b">
        <v>0</v>
      </c>
      <c r="AA12" t="s">
        <v>113</v>
      </c>
    </row>
    <row r="13" spans="1:27">
      <c r="A13">
        <v>0</v>
      </c>
      <c r="B13">
        <v>12</v>
      </c>
      <c r="D13" t="s">
        <v>65</v>
      </c>
      <c r="E13" t="s">
        <v>66</v>
      </c>
      <c r="I13" t="s">
        <v>114</v>
      </c>
      <c r="J13" t="s">
        <v>115</v>
      </c>
      <c r="K13" t="s">
        <v>116</v>
      </c>
      <c r="L13" t="s">
        <v>117</v>
      </c>
      <c r="M13" t="s">
        <v>118</v>
      </c>
      <c r="N13">
        <v>46040.958333333336</v>
      </c>
      <c r="O13" t="s">
        <v>119</v>
      </c>
      <c r="P13" t="s">
        <v>120</v>
      </c>
      <c r="Q13">
        <v>26</v>
      </c>
      <c r="R13" t="s">
        <v>121</v>
      </c>
      <c r="S13">
        <v>46386.958333333336</v>
      </c>
      <c r="T13">
        <v>12</v>
      </c>
      <c r="U13">
        <v>45989.913298611114</v>
      </c>
      <c r="V13">
        <v>45967.006238425929</v>
      </c>
      <c r="W13">
        <v>10</v>
      </c>
      <c r="X13">
        <v>125</v>
      </c>
      <c r="Y13" t="s">
        <v>122</v>
      </c>
      <c r="Z13" t="b">
        <v>0</v>
      </c>
      <c r="AA13" t="s">
        <v>123</v>
      </c>
    </row>
    <row r="14" spans="1:27">
      <c r="A14">
        <v>0</v>
      </c>
      <c r="B14">
        <v>13</v>
      </c>
      <c r="D14" t="s">
        <v>65</v>
      </c>
      <c r="E14" t="s">
        <v>66</v>
      </c>
      <c r="I14" t="s">
        <v>124</v>
      </c>
      <c r="J14" t="s">
        <v>125</v>
      </c>
      <c r="K14" t="s">
        <v>126</v>
      </c>
      <c r="L14" t="s">
        <v>127</v>
      </c>
      <c r="M14" t="s">
        <v>128</v>
      </c>
      <c r="N14">
        <v>46052.958333333336</v>
      </c>
      <c r="O14" t="s">
        <v>129</v>
      </c>
      <c r="P14" t="s">
        <v>130</v>
      </c>
      <c r="Q14">
        <v>27</v>
      </c>
      <c r="R14" t="s">
        <v>131</v>
      </c>
      <c r="S14">
        <v>46386.958333333336</v>
      </c>
      <c r="T14">
        <v>13</v>
      </c>
      <c r="U14">
        <v>45992.802858796298</v>
      </c>
      <c r="V14">
        <v>45967.006261574075</v>
      </c>
      <c r="W14">
        <v>10</v>
      </c>
      <c r="X14">
        <v>83</v>
      </c>
      <c r="Y14" t="s">
        <v>132</v>
      </c>
      <c r="Z14" t="b">
        <v>0</v>
      </c>
      <c r="AA14" t="s">
        <v>133</v>
      </c>
    </row>
    <row r="15" spans="1:27">
      <c r="A15">
        <v>0</v>
      </c>
      <c r="B15">
        <v>14</v>
      </c>
      <c r="D15" t="s">
        <v>65</v>
      </c>
      <c r="E15" t="s">
        <v>66</v>
      </c>
      <c r="I15" t="s">
        <v>134</v>
      </c>
      <c r="J15" t="s">
        <v>125</v>
      </c>
      <c r="K15" t="s">
        <v>135</v>
      </c>
      <c r="L15" t="s">
        <v>127</v>
      </c>
      <c r="M15" t="s">
        <v>136</v>
      </c>
      <c r="N15">
        <v>46052.958333333336</v>
      </c>
      <c r="O15" t="s">
        <v>137</v>
      </c>
      <c r="P15" t="s">
        <v>138</v>
      </c>
      <c r="Q15">
        <v>28</v>
      </c>
      <c r="R15" t="s">
        <v>139</v>
      </c>
      <c r="S15">
        <v>46386.958333333336</v>
      </c>
      <c r="T15">
        <v>14</v>
      </c>
      <c r="U15">
        <v>45992.805474537039</v>
      </c>
      <c r="V15">
        <v>45967.006273148145</v>
      </c>
      <c r="W15">
        <v>10</v>
      </c>
      <c r="X15">
        <v>83</v>
      </c>
      <c r="Y15" t="s">
        <v>140</v>
      </c>
      <c r="Z15" t="b">
        <v>0</v>
      </c>
      <c r="AA15" t="s">
        <v>141</v>
      </c>
    </row>
    <row r="16" spans="1:27">
      <c r="A16">
        <v>0</v>
      </c>
      <c r="B16">
        <v>15</v>
      </c>
      <c r="D16" t="s">
        <v>65</v>
      </c>
      <c r="E16" t="s">
        <v>66</v>
      </c>
      <c r="I16" t="s">
        <v>142</v>
      </c>
      <c r="J16" t="s">
        <v>143</v>
      </c>
      <c r="K16" t="s">
        <v>144</v>
      </c>
      <c r="L16" t="s">
        <v>145</v>
      </c>
      <c r="M16" t="s">
        <v>146</v>
      </c>
      <c r="N16">
        <v>46029.958333333336</v>
      </c>
      <c r="O16" t="s">
        <v>147</v>
      </c>
      <c r="P16" t="s">
        <v>148</v>
      </c>
      <c r="Q16">
        <v>39</v>
      </c>
      <c r="R16" t="s">
        <v>149</v>
      </c>
      <c r="T16">
        <v>15</v>
      </c>
      <c r="U16">
        <v>45992.801863425928</v>
      </c>
      <c r="V16">
        <v>45967.006296296298</v>
      </c>
      <c r="W16">
        <v>10</v>
      </c>
      <c r="X16">
        <v>83</v>
      </c>
      <c r="Y16" t="s">
        <v>122</v>
      </c>
      <c r="Z16" t="b">
        <v>0</v>
      </c>
      <c r="AA16" t="s">
        <v>150</v>
      </c>
    </row>
    <row r="17" spans="1:27">
      <c r="A17">
        <v>0</v>
      </c>
      <c r="B17">
        <v>16</v>
      </c>
      <c r="D17" t="s">
        <v>65</v>
      </c>
      <c r="E17" t="s">
        <v>66</v>
      </c>
      <c r="I17" t="s">
        <v>151</v>
      </c>
      <c r="J17" t="s">
        <v>143</v>
      </c>
      <c r="K17" t="s">
        <v>152</v>
      </c>
      <c r="L17" t="s">
        <v>145</v>
      </c>
      <c r="M17" t="s">
        <v>153</v>
      </c>
      <c r="N17">
        <v>46052.958333333336</v>
      </c>
      <c r="O17" t="s">
        <v>154</v>
      </c>
      <c r="P17" t="s">
        <v>155</v>
      </c>
      <c r="Q17">
        <v>40</v>
      </c>
      <c r="R17" t="s">
        <v>156</v>
      </c>
      <c r="S17">
        <v>46386.958333333336</v>
      </c>
      <c r="T17">
        <v>16</v>
      </c>
      <c r="U17">
        <v>45992.801863425928</v>
      </c>
      <c r="V17">
        <v>45967.006319444445</v>
      </c>
      <c r="W17">
        <v>10</v>
      </c>
      <c r="X17">
        <v>83</v>
      </c>
      <c r="Y17" t="s">
        <v>87</v>
      </c>
      <c r="Z17" t="b">
        <v>0</v>
      </c>
      <c r="AA17" t="s">
        <v>157</v>
      </c>
    </row>
    <row r="18" spans="1:27">
      <c r="A18">
        <v>0</v>
      </c>
      <c r="B18">
        <v>17</v>
      </c>
      <c r="D18" t="s">
        <v>65</v>
      </c>
      <c r="E18" t="s">
        <v>66</v>
      </c>
      <c r="I18" t="s">
        <v>158</v>
      </c>
      <c r="J18" t="s">
        <v>159</v>
      </c>
      <c r="K18" t="s">
        <v>160</v>
      </c>
      <c r="L18" t="s">
        <v>145</v>
      </c>
      <c r="M18" t="s">
        <v>161</v>
      </c>
      <c r="N18">
        <v>46029.958333333336</v>
      </c>
      <c r="O18" t="s">
        <v>162</v>
      </c>
      <c r="P18" t="s">
        <v>155</v>
      </c>
      <c r="Q18">
        <v>36</v>
      </c>
      <c r="R18" t="s">
        <v>163</v>
      </c>
      <c r="T18">
        <v>17</v>
      </c>
      <c r="U18">
        <v>45990.085486111115</v>
      </c>
      <c r="V18">
        <v>45967.006354166668</v>
      </c>
      <c r="W18">
        <v>10</v>
      </c>
      <c r="X18">
        <v>274</v>
      </c>
      <c r="Y18" t="s">
        <v>122</v>
      </c>
      <c r="Z18" t="b">
        <v>0</v>
      </c>
      <c r="AA18" t="s">
        <v>164</v>
      </c>
    </row>
    <row r="19" spans="1:27">
      <c r="A19">
        <v>0</v>
      </c>
      <c r="B19">
        <v>18</v>
      </c>
      <c r="D19" t="s">
        <v>65</v>
      </c>
      <c r="E19" t="s">
        <v>66</v>
      </c>
      <c r="I19" t="s">
        <v>165</v>
      </c>
      <c r="J19" t="s">
        <v>159</v>
      </c>
      <c r="K19" t="s">
        <v>166</v>
      </c>
      <c r="L19" t="s">
        <v>145</v>
      </c>
      <c r="M19" t="s">
        <v>167</v>
      </c>
      <c r="N19">
        <v>46052.958333333336</v>
      </c>
      <c r="O19" t="s">
        <v>168</v>
      </c>
      <c r="P19" t="s">
        <v>169</v>
      </c>
      <c r="Q19">
        <v>37</v>
      </c>
      <c r="R19" t="s">
        <v>170</v>
      </c>
      <c r="T19">
        <v>18</v>
      </c>
      <c r="U19">
        <v>45990.087013888886</v>
      </c>
      <c r="V19">
        <v>45967.006365740737</v>
      </c>
      <c r="W19">
        <v>10</v>
      </c>
      <c r="X19">
        <v>274</v>
      </c>
      <c r="Y19" t="s">
        <v>122</v>
      </c>
      <c r="Z19" t="b">
        <v>0</v>
      </c>
      <c r="AA19" t="s">
        <v>171</v>
      </c>
    </row>
    <row r="20" spans="1:27">
      <c r="A20">
        <v>0</v>
      </c>
      <c r="B20">
        <v>19</v>
      </c>
      <c r="D20" t="s">
        <v>65</v>
      </c>
      <c r="E20" t="s">
        <v>66</v>
      </c>
      <c r="I20" t="s">
        <v>172</v>
      </c>
      <c r="J20" t="s">
        <v>173</v>
      </c>
      <c r="K20" t="s">
        <v>174</v>
      </c>
      <c r="L20" t="s">
        <v>175</v>
      </c>
      <c r="M20" t="s">
        <v>176</v>
      </c>
      <c r="O20" t="s">
        <v>177</v>
      </c>
      <c r="P20" t="s">
        <v>178</v>
      </c>
      <c r="Q20">
        <v>33</v>
      </c>
      <c r="R20" t="s">
        <v>179</v>
      </c>
      <c r="T20">
        <v>19</v>
      </c>
      <c r="U20">
        <v>45989.922037037039</v>
      </c>
      <c r="V20">
        <v>45967.00640046296</v>
      </c>
      <c r="W20">
        <v>10</v>
      </c>
      <c r="X20">
        <v>277</v>
      </c>
      <c r="Y20" t="s">
        <v>122</v>
      </c>
      <c r="Z20" t="b">
        <v>0</v>
      </c>
      <c r="AA20" t="s">
        <v>180</v>
      </c>
    </row>
    <row r="21" spans="1:27">
      <c r="A21">
        <v>0</v>
      </c>
      <c r="B21">
        <v>20</v>
      </c>
      <c r="D21" t="s">
        <v>65</v>
      </c>
      <c r="E21" t="s">
        <v>66</v>
      </c>
      <c r="I21" t="s">
        <v>181</v>
      </c>
      <c r="J21" t="s">
        <v>182</v>
      </c>
      <c r="K21" t="s">
        <v>183</v>
      </c>
      <c r="L21" t="s">
        <v>184</v>
      </c>
      <c r="M21" t="s">
        <v>185</v>
      </c>
      <c r="N21">
        <v>46052.958333333336</v>
      </c>
      <c r="O21" t="s">
        <v>186</v>
      </c>
      <c r="P21" t="s">
        <v>187</v>
      </c>
      <c r="Q21">
        <v>34</v>
      </c>
      <c r="R21" t="s">
        <v>188</v>
      </c>
      <c r="S21">
        <v>46375.958333333336</v>
      </c>
      <c r="T21">
        <v>20</v>
      </c>
      <c r="U21">
        <v>45992.70716435185</v>
      </c>
      <c r="V21">
        <v>45967.006435185183</v>
      </c>
      <c r="W21">
        <v>10</v>
      </c>
      <c r="X21">
        <v>109</v>
      </c>
      <c r="Y21" t="s">
        <v>189</v>
      </c>
      <c r="Z21" t="b">
        <v>0</v>
      </c>
      <c r="AA21" t="s">
        <v>190</v>
      </c>
    </row>
    <row r="22" spans="1:27">
      <c r="A22">
        <v>0</v>
      </c>
      <c r="B22">
        <v>21</v>
      </c>
      <c r="D22" t="s">
        <v>65</v>
      </c>
      <c r="E22" t="s">
        <v>66</v>
      </c>
      <c r="I22" t="s">
        <v>191</v>
      </c>
      <c r="J22" t="s">
        <v>182</v>
      </c>
      <c r="K22" t="s">
        <v>192</v>
      </c>
      <c r="L22" t="s">
        <v>184</v>
      </c>
      <c r="M22" t="s">
        <v>185</v>
      </c>
      <c r="N22">
        <v>46052.958333333336</v>
      </c>
      <c r="O22" t="s">
        <v>186</v>
      </c>
      <c r="P22" t="s">
        <v>193</v>
      </c>
      <c r="Q22">
        <v>54</v>
      </c>
      <c r="R22" t="s">
        <v>188</v>
      </c>
      <c r="S22">
        <v>46375.958333333336</v>
      </c>
      <c r="T22">
        <v>21</v>
      </c>
      <c r="U22">
        <v>45992.707372685189</v>
      </c>
      <c r="V22">
        <v>45967.006458333337</v>
      </c>
      <c r="W22">
        <v>10</v>
      </c>
      <c r="X22">
        <v>109</v>
      </c>
      <c r="Y22" t="s">
        <v>194</v>
      </c>
      <c r="Z22" t="b">
        <v>0</v>
      </c>
      <c r="AA22" t="s">
        <v>195</v>
      </c>
    </row>
    <row r="23" spans="1:27">
      <c r="A23">
        <v>0</v>
      </c>
      <c r="B23">
        <v>22</v>
      </c>
      <c r="D23" t="s">
        <v>65</v>
      </c>
      <c r="E23" t="s">
        <v>66</v>
      </c>
      <c r="I23" t="s">
        <v>196</v>
      </c>
      <c r="J23" t="s">
        <v>197</v>
      </c>
      <c r="K23" t="s">
        <v>198</v>
      </c>
      <c r="L23" t="s">
        <v>199</v>
      </c>
      <c r="Q23">
        <v>42</v>
      </c>
      <c r="T23">
        <v>22</v>
      </c>
      <c r="U23">
        <v>45968.774641203701</v>
      </c>
      <c r="V23">
        <v>45967.006469907406</v>
      </c>
      <c r="W23">
        <v>10</v>
      </c>
      <c r="X23">
        <v>10</v>
      </c>
      <c r="Y23" t="s">
        <v>81</v>
      </c>
      <c r="Z23" t="b">
        <v>0</v>
      </c>
      <c r="AA23" t="s">
        <v>200</v>
      </c>
    </row>
    <row r="24" spans="1:27">
      <c r="A24">
        <v>0</v>
      </c>
      <c r="B24">
        <v>23</v>
      </c>
      <c r="D24" t="s">
        <v>65</v>
      </c>
      <c r="E24" t="s">
        <v>66</v>
      </c>
      <c r="I24" t="s">
        <v>201</v>
      </c>
      <c r="J24" t="s">
        <v>202</v>
      </c>
      <c r="K24" t="s">
        <v>203</v>
      </c>
      <c r="L24" t="s">
        <v>35</v>
      </c>
      <c r="Q24">
        <v>43</v>
      </c>
      <c r="T24">
        <v>23</v>
      </c>
      <c r="U24">
        <v>45968.774675925924</v>
      </c>
      <c r="V24">
        <v>45967.006504629629</v>
      </c>
      <c r="W24">
        <v>10</v>
      </c>
      <c r="X24">
        <v>10</v>
      </c>
      <c r="Y24" t="s">
        <v>87</v>
      </c>
      <c r="Z24" t="b">
        <v>0</v>
      </c>
      <c r="AA24" t="s">
        <v>204</v>
      </c>
    </row>
    <row r="25" spans="1:27">
      <c r="A25">
        <v>0</v>
      </c>
      <c r="B25">
        <v>24</v>
      </c>
      <c r="D25" t="s">
        <v>65</v>
      </c>
      <c r="E25" t="s">
        <v>66</v>
      </c>
      <c r="I25" t="s">
        <v>205</v>
      </c>
      <c r="J25" t="s">
        <v>202</v>
      </c>
      <c r="K25" t="s">
        <v>206</v>
      </c>
      <c r="L25" t="s">
        <v>35</v>
      </c>
      <c r="Q25">
        <v>44</v>
      </c>
      <c r="T25">
        <v>24</v>
      </c>
      <c r="U25">
        <v>45967.006527777776</v>
      </c>
      <c r="V25">
        <v>45967.006527777776</v>
      </c>
      <c r="W25">
        <v>10</v>
      </c>
      <c r="X25">
        <v>10</v>
      </c>
      <c r="Y25" t="s">
        <v>94</v>
      </c>
      <c r="Z25" t="b">
        <v>0</v>
      </c>
      <c r="AA25" t="s">
        <v>207</v>
      </c>
    </row>
    <row r="26" spans="1:27">
      <c r="A26">
        <v>0</v>
      </c>
      <c r="B26">
        <v>25</v>
      </c>
      <c r="D26" t="s">
        <v>65</v>
      </c>
      <c r="E26" t="s">
        <v>66</v>
      </c>
      <c r="I26" t="s">
        <v>208</v>
      </c>
      <c r="J26" t="s">
        <v>202</v>
      </c>
      <c r="K26" t="s">
        <v>209</v>
      </c>
      <c r="L26" t="s">
        <v>35</v>
      </c>
      <c r="Q26">
        <v>46</v>
      </c>
      <c r="T26">
        <v>25</v>
      </c>
      <c r="U26">
        <v>45967.006562499999</v>
      </c>
      <c r="V26">
        <v>45967.006562499999</v>
      </c>
      <c r="W26">
        <v>10</v>
      </c>
      <c r="X26">
        <v>10</v>
      </c>
      <c r="Y26" t="s">
        <v>94</v>
      </c>
      <c r="Z26" t="b">
        <v>0</v>
      </c>
      <c r="AA26" t="s">
        <v>210</v>
      </c>
    </row>
    <row r="27" spans="1:27">
      <c r="A27">
        <v>0</v>
      </c>
      <c r="B27">
        <v>26</v>
      </c>
      <c r="D27" t="s">
        <v>65</v>
      </c>
      <c r="E27" t="s">
        <v>66</v>
      </c>
      <c r="I27" t="s">
        <v>211</v>
      </c>
      <c r="J27" t="s">
        <v>202</v>
      </c>
      <c r="K27" t="s">
        <v>212</v>
      </c>
      <c r="L27" t="s">
        <v>35</v>
      </c>
      <c r="Q27">
        <v>47</v>
      </c>
      <c r="T27">
        <v>26</v>
      </c>
      <c r="U27">
        <v>45967.006574074076</v>
      </c>
      <c r="V27">
        <v>45967.006574074076</v>
      </c>
      <c r="W27">
        <v>10</v>
      </c>
      <c r="X27">
        <v>10</v>
      </c>
      <c r="Y27" t="s">
        <v>94</v>
      </c>
      <c r="Z27" t="b">
        <v>0</v>
      </c>
      <c r="AA27" t="s">
        <v>213</v>
      </c>
    </row>
    <row r="28" spans="1:27">
      <c r="A28">
        <v>0</v>
      </c>
      <c r="B28">
        <v>27</v>
      </c>
      <c r="D28" t="s">
        <v>65</v>
      </c>
      <c r="E28" t="s">
        <v>66</v>
      </c>
      <c r="I28" t="s">
        <v>214</v>
      </c>
      <c r="J28" t="s">
        <v>215</v>
      </c>
      <c r="K28" t="s">
        <v>216</v>
      </c>
      <c r="L28" t="s">
        <v>35</v>
      </c>
      <c r="Q28">
        <v>45</v>
      </c>
      <c r="T28">
        <v>27</v>
      </c>
      <c r="U28">
        <v>45967.006608796299</v>
      </c>
      <c r="V28">
        <v>45967.006608796299</v>
      </c>
      <c r="W28">
        <v>10</v>
      </c>
      <c r="X28">
        <v>10</v>
      </c>
      <c r="Y28" t="s">
        <v>94</v>
      </c>
      <c r="Z28" t="b">
        <v>0</v>
      </c>
      <c r="AA28" t="s">
        <v>217</v>
      </c>
    </row>
    <row r="29" spans="1:27">
      <c r="A29">
        <v>0</v>
      </c>
      <c r="B29">
        <v>28</v>
      </c>
      <c r="D29" t="s">
        <v>65</v>
      </c>
      <c r="E29" t="s">
        <v>66</v>
      </c>
      <c r="I29" t="s">
        <v>218</v>
      </c>
      <c r="J29" t="s">
        <v>219</v>
      </c>
      <c r="K29" t="s">
        <v>220</v>
      </c>
      <c r="L29" t="s">
        <v>221</v>
      </c>
      <c r="M29" t="s">
        <v>222</v>
      </c>
      <c r="N29">
        <v>46029.958333333336</v>
      </c>
      <c r="O29" t="s">
        <v>168</v>
      </c>
      <c r="P29" t="s">
        <v>155</v>
      </c>
      <c r="Q29">
        <v>48</v>
      </c>
      <c r="R29" t="s">
        <v>223</v>
      </c>
      <c r="S29">
        <v>46386.958333333336</v>
      </c>
      <c r="T29">
        <v>28</v>
      </c>
      <c r="U29">
        <v>45990.090081018519</v>
      </c>
      <c r="V29">
        <v>45967.006631944445</v>
      </c>
      <c r="W29">
        <v>10</v>
      </c>
      <c r="X29">
        <v>274</v>
      </c>
      <c r="Y29" t="s">
        <v>224</v>
      </c>
      <c r="Z29" t="b">
        <v>0</v>
      </c>
      <c r="AA29" t="s">
        <v>225</v>
      </c>
    </row>
    <row r="30" spans="1:27">
      <c r="A30">
        <v>0</v>
      </c>
      <c r="B30">
        <v>29</v>
      </c>
      <c r="D30" t="s">
        <v>65</v>
      </c>
      <c r="E30" t="s">
        <v>66</v>
      </c>
      <c r="I30" t="s">
        <v>226</v>
      </c>
      <c r="J30" t="s">
        <v>219</v>
      </c>
      <c r="K30" t="s">
        <v>227</v>
      </c>
      <c r="L30" t="s">
        <v>221</v>
      </c>
      <c r="M30" t="s">
        <v>228</v>
      </c>
      <c r="Q30">
        <v>50</v>
      </c>
      <c r="T30">
        <v>29</v>
      </c>
      <c r="U30">
        <v>45990.104074074072</v>
      </c>
      <c r="V30">
        <v>45967.006655092591</v>
      </c>
      <c r="W30">
        <v>10</v>
      </c>
      <c r="X30">
        <v>274</v>
      </c>
      <c r="Y30" t="s">
        <v>224</v>
      </c>
      <c r="Z30" t="b">
        <v>0</v>
      </c>
      <c r="AA30" t="s">
        <v>229</v>
      </c>
    </row>
    <row r="31" spans="1:27">
      <c r="A31">
        <v>0</v>
      </c>
      <c r="B31">
        <v>30</v>
      </c>
      <c r="D31" t="s">
        <v>65</v>
      </c>
      <c r="E31" t="s">
        <v>66</v>
      </c>
      <c r="I31" t="s">
        <v>230</v>
      </c>
      <c r="J31" t="s">
        <v>231</v>
      </c>
      <c r="K31" t="s">
        <v>232</v>
      </c>
      <c r="L31" t="s">
        <v>233</v>
      </c>
      <c r="M31" t="s">
        <v>234</v>
      </c>
      <c r="N31">
        <v>46052.958333333336</v>
      </c>
      <c r="O31" t="s">
        <v>235</v>
      </c>
      <c r="P31" t="s">
        <v>236</v>
      </c>
      <c r="Q31">
        <v>19</v>
      </c>
      <c r="R31" t="s">
        <v>237</v>
      </c>
      <c r="S31">
        <v>46386.958333333336</v>
      </c>
      <c r="T31">
        <v>30</v>
      </c>
      <c r="U31">
        <v>45990.093182870369</v>
      </c>
      <c r="V31">
        <v>45967.006689814814</v>
      </c>
      <c r="W31">
        <v>10</v>
      </c>
      <c r="X31">
        <v>274</v>
      </c>
      <c r="Y31" t="s">
        <v>224</v>
      </c>
      <c r="Z31" t="b">
        <v>0</v>
      </c>
      <c r="AA31" t="s">
        <v>238</v>
      </c>
    </row>
    <row r="32" spans="1:27">
      <c r="A32">
        <v>0</v>
      </c>
      <c r="B32">
        <v>31</v>
      </c>
      <c r="D32" t="s">
        <v>65</v>
      </c>
      <c r="E32" t="s">
        <v>66</v>
      </c>
      <c r="I32" t="s">
        <v>239</v>
      </c>
      <c r="J32" t="s">
        <v>231</v>
      </c>
      <c r="K32" t="s">
        <v>240</v>
      </c>
      <c r="L32" t="s">
        <v>233</v>
      </c>
      <c r="M32" t="s">
        <v>241</v>
      </c>
      <c r="N32">
        <v>46052.958333333336</v>
      </c>
      <c r="O32" t="s">
        <v>235</v>
      </c>
      <c r="P32" t="s">
        <v>236</v>
      </c>
      <c r="Q32">
        <v>57</v>
      </c>
      <c r="R32" t="s">
        <v>242</v>
      </c>
      <c r="S32">
        <v>46232.916666666664</v>
      </c>
      <c r="T32">
        <v>31</v>
      </c>
      <c r="U32">
        <v>45990.095370370371</v>
      </c>
      <c r="V32">
        <v>45967.006701388891</v>
      </c>
      <c r="W32">
        <v>10</v>
      </c>
      <c r="X32">
        <v>274</v>
      </c>
      <c r="Y32" t="s">
        <v>224</v>
      </c>
      <c r="Z32" t="b">
        <v>0</v>
      </c>
      <c r="AA32" t="s">
        <v>243</v>
      </c>
    </row>
    <row r="33" spans="1:27">
      <c r="A33">
        <v>0</v>
      </c>
      <c r="B33">
        <v>32</v>
      </c>
      <c r="D33" t="s">
        <v>65</v>
      </c>
      <c r="E33" t="s">
        <v>66</v>
      </c>
      <c r="I33" t="s">
        <v>244</v>
      </c>
      <c r="J33" t="s">
        <v>245</v>
      </c>
      <c r="K33" t="s">
        <v>246</v>
      </c>
      <c r="L33" t="s">
        <v>247</v>
      </c>
      <c r="Q33">
        <v>63</v>
      </c>
      <c r="T33">
        <v>32</v>
      </c>
      <c r="U33">
        <v>45968.774745370371</v>
      </c>
      <c r="V33">
        <v>45967.006736111114</v>
      </c>
      <c r="W33">
        <v>10</v>
      </c>
      <c r="X33">
        <v>10</v>
      </c>
      <c r="Y33" t="s">
        <v>248</v>
      </c>
      <c r="Z33" t="b">
        <v>0</v>
      </c>
      <c r="AA33" t="s">
        <v>249</v>
      </c>
    </row>
    <row r="34" spans="1:27">
      <c r="A34">
        <v>0</v>
      </c>
      <c r="B34">
        <v>33</v>
      </c>
      <c r="D34" t="s">
        <v>65</v>
      </c>
      <c r="E34" t="s">
        <v>66</v>
      </c>
      <c r="I34" t="s">
        <v>250</v>
      </c>
      <c r="J34" t="s">
        <v>245</v>
      </c>
      <c r="K34" t="s">
        <v>251</v>
      </c>
      <c r="L34" t="s">
        <v>247</v>
      </c>
      <c r="Q34">
        <v>64</v>
      </c>
      <c r="T34">
        <v>33</v>
      </c>
      <c r="U34">
        <v>45967.006747685184</v>
      </c>
      <c r="V34">
        <v>45967.006747685184</v>
      </c>
      <c r="W34">
        <v>10</v>
      </c>
      <c r="X34">
        <v>10</v>
      </c>
      <c r="Y34" t="s">
        <v>94</v>
      </c>
      <c r="Z34" t="b">
        <v>0</v>
      </c>
      <c r="AA34" t="s">
        <v>252</v>
      </c>
    </row>
    <row r="35" spans="1:27">
      <c r="A35">
        <v>0</v>
      </c>
      <c r="B35">
        <v>34</v>
      </c>
      <c r="D35" t="s">
        <v>65</v>
      </c>
      <c r="E35" t="s">
        <v>66</v>
      </c>
      <c r="I35" t="s">
        <v>253</v>
      </c>
      <c r="J35" t="s">
        <v>245</v>
      </c>
      <c r="K35" t="s">
        <v>254</v>
      </c>
      <c r="L35" t="s">
        <v>247</v>
      </c>
      <c r="Q35">
        <v>65</v>
      </c>
      <c r="T35">
        <v>34</v>
      </c>
      <c r="U35">
        <v>45967.006782407407</v>
      </c>
      <c r="V35">
        <v>45967.006782407407</v>
      </c>
      <c r="W35">
        <v>10</v>
      </c>
      <c r="X35">
        <v>10</v>
      </c>
      <c r="Y35" t="s">
        <v>94</v>
      </c>
      <c r="Z35" t="b">
        <v>0</v>
      </c>
      <c r="AA35" t="s">
        <v>255</v>
      </c>
    </row>
    <row r="36" spans="1:27">
      <c r="A36">
        <v>0</v>
      </c>
      <c r="B36">
        <v>35</v>
      </c>
      <c r="D36" t="s">
        <v>65</v>
      </c>
      <c r="E36" t="s">
        <v>66</v>
      </c>
      <c r="I36" t="s">
        <v>256</v>
      </c>
      <c r="J36" t="s">
        <v>245</v>
      </c>
      <c r="K36" t="s">
        <v>257</v>
      </c>
      <c r="L36" t="s">
        <v>247</v>
      </c>
      <c r="Q36">
        <v>78</v>
      </c>
      <c r="T36">
        <v>35</v>
      </c>
      <c r="U36">
        <v>45967.006805555553</v>
      </c>
      <c r="V36">
        <v>45967.006805555553</v>
      </c>
      <c r="W36">
        <v>10</v>
      </c>
      <c r="X36">
        <v>10</v>
      </c>
      <c r="Y36" t="s">
        <v>94</v>
      </c>
      <c r="Z36" t="b">
        <v>0</v>
      </c>
      <c r="AA36" t="s">
        <v>258</v>
      </c>
    </row>
    <row r="37" spans="1:27">
      <c r="A37">
        <v>0</v>
      </c>
      <c r="B37">
        <v>36</v>
      </c>
      <c r="D37" t="s">
        <v>65</v>
      </c>
      <c r="E37" t="s">
        <v>66</v>
      </c>
      <c r="I37" t="s">
        <v>259</v>
      </c>
      <c r="J37" t="s">
        <v>245</v>
      </c>
      <c r="K37" t="s">
        <v>260</v>
      </c>
      <c r="L37" t="s">
        <v>247</v>
      </c>
      <c r="Q37">
        <v>67</v>
      </c>
      <c r="T37">
        <v>36</v>
      </c>
      <c r="U37">
        <v>45967.006828703707</v>
      </c>
      <c r="V37">
        <v>45967.006828703707</v>
      </c>
      <c r="W37">
        <v>10</v>
      </c>
      <c r="X37">
        <v>10</v>
      </c>
      <c r="Y37" t="s">
        <v>94</v>
      </c>
      <c r="Z37" t="b">
        <v>0</v>
      </c>
      <c r="AA37" t="s">
        <v>261</v>
      </c>
    </row>
    <row r="38" spans="1:27">
      <c r="A38">
        <v>0</v>
      </c>
      <c r="B38">
        <v>37</v>
      </c>
      <c r="D38" t="s">
        <v>65</v>
      </c>
      <c r="E38" t="s">
        <v>66</v>
      </c>
      <c r="I38" t="s">
        <v>262</v>
      </c>
      <c r="J38" t="s">
        <v>263</v>
      </c>
      <c r="K38" t="s">
        <v>264</v>
      </c>
      <c r="L38" t="s">
        <v>265</v>
      </c>
      <c r="Q38">
        <v>77</v>
      </c>
      <c r="T38">
        <v>37</v>
      </c>
      <c r="U38">
        <v>45967.849027777775</v>
      </c>
      <c r="V38">
        <v>45967.006840277776</v>
      </c>
      <c r="W38">
        <v>10</v>
      </c>
      <c r="X38">
        <v>10</v>
      </c>
      <c r="Y38" t="s">
        <v>224</v>
      </c>
      <c r="Z38" t="b">
        <v>0</v>
      </c>
      <c r="AA38" t="s">
        <v>266</v>
      </c>
    </row>
    <row r="39" spans="1:27">
      <c r="A39">
        <v>0</v>
      </c>
      <c r="B39">
        <v>38</v>
      </c>
      <c r="D39" t="s">
        <v>65</v>
      </c>
      <c r="E39" t="s">
        <v>66</v>
      </c>
      <c r="I39" t="s">
        <v>267</v>
      </c>
      <c r="J39" t="s">
        <v>263</v>
      </c>
      <c r="K39" t="s">
        <v>268</v>
      </c>
      <c r="L39" t="s">
        <v>265</v>
      </c>
      <c r="Q39">
        <v>62</v>
      </c>
      <c r="T39">
        <v>38</v>
      </c>
      <c r="U39">
        <v>45967.006874999999</v>
      </c>
      <c r="V39">
        <v>45967.006874999999</v>
      </c>
      <c r="W39">
        <v>10</v>
      </c>
      <c r="X39">
        <v>10</v>
      </c>
      <c r="Y39" t="s">
        <v>94</v>
      </c>
      <c r="Z39" t="b">
        <v>0</v>
      </c>
      <c r="AA39" t="s">
        <v>269</v>
      </c>
    </row>
    <row r="40" spans="1:27">
      <c r="A40">
        <v>0</v>
      </c>
      <c r="B40">
        <v>39</v>
      </c>
      <c r="D40" t="s">
        <v>65</v>
      </c>
      <c r="E40" t="s">
        <v>66</v>
      </c>
      <c r="I40" t="s">
        <v>270</v>
      </c>
      <c r="J40" t="s">
        <v>271</v>
      </c>
      <c r="K40" t="s">
        <v>272</v>
      </c>
      <c r="L40" t="s">
        <v>273</v>
      </c>
      <c r="Q40">
        <v>71</v>
      </c>
      <c r="T40">
        <v>39</v>
      </c>
      <c r="U40">
        <v>45967.006898148145</v>
      </c>
      <c r="V40">
        <v>45967.006898148145</v>
      </c>
      <c r="W40">
        <v>10</v>
      </c>
      <c r="X40">
        <v>10</v>
      </c>
      <c r="Y40" t="s">
        <v>94</v>
      </c>
      <c r="Z40" t="b">
        <v>0</v>
      </c>
      <c r="AA40" t="s">
        <v>274</v>
      </c>
    </row>
    <row r="41" spans="1:27">
      <c r="A41">
        <v>0</v>
      </c>
      <c r="B41">
        <v>40</v>
      </c>
      <c r="D41" t="s">
        <v>65</v>
      </c>
      <c r="E41" t="s">
        <v>66</v>
      </c>
      <c r="I41" t="s">
        <v>275</v>
      </c>
      <c r="J41" t="s">
        <v>271</v>
      </c>
      <c r="K41" t="s">
        <v>276</v>
      </c>
      <c r="L41" t="s">
        <v>273</v>
      </c>
      <c r="Q41">
        <v>72</v>
      </c>
      <c r="T41">
        <v>40</v>
      </c>
      <c r="U41">
        <v>45967.006932870368</v>
      </c>
      <c r="V41">
        <v>45967.006932870368</v>
      </c>
      <c r="W41">
        <v>10</v>
      </c>
      <c r="X41">
        <v>10</v>
      </c>
      <c r="Y41" t="s">
        <v>94</v>
      </c>
      <c r="Z41" t="b">
        <v>0</v>
      </c>
      <c r="AA41" t="s">
        <v>277</v>
      </c>
    </row>
    <row r="42" spans="1:27">
      <c r="A42">
        <v>0</v>
      </c>
      <c r="B42">
        <v>41</v>
      </c>
      <c r="D42" t="s">
        <v>65</v>
      </c>
      <c r="E42" t="s">
        <v>66</v>
      </c>
      <c r="I42" t="s">
        <v>278</v>
      </c>
      <c r="J42" t="s">
        <v>271</v>
      </c>
      <c r="K42" t="s">
        <v>279</v>
      </c>
      <c r="L42" t="s">
        <v>273</v>
      </c>
      <c r="Q42">
        <v>73</v>
      </c>
      <c r="T42">
        <v>41</v>
      </c>
      <c r="U42">
        <v>45967.006956018522</v>
      </c>
      <c r="V42">
        <v>45967.006956018522</v>
      </c>
      <c r="W42">
        <v>10</v>
      </c>
      <c r="X42">
        <v>10</v>
      </c>
      <c r="Y42" t="s">
        <v>94</v>
      </c>
      <c r="Z42" t="b">
        <v>0</v>
      </c>
      <c r="AA42" t="s">
        <v>280</v>
      </c>
    </row>
    <row r="43" spans="1:27">
      <c r="A43">
        <v>0</v>
      </c>
      <c r="B43">
        <v>42</v>
      </c>
      <c r="D43" t="s">
        <v>65</v>
      </c>
      <c r="E43" t="s">
        <v>66</v>
      </c>
      <c r="I43" t="s">
        <v>281</v>
      </c>
      <c r="J43" t="s">
        <v>282</v>
      </c>
      <c r="K43" t="s">
        <v>283</v>
      </c>
      <c r="L43" t="s">
        <v>284</v>
      </c>
      <c r="M43" t="s">
        <v>285</v>
      </c>
      <c r="N43">
        <v>46052.958333333336</v>
      </c>
      <c r="O43" t="s">
        <v>286</v>
      </c>
      <c r="P43" t="s">
        <v>287</v>
      </c>
      <c r="Q43">
        <v>68</v>
      </c>
      <c r="R43" t="s">
        <v>288</v>
      </c>
      <c r="S43">
        <v>46356.958333333336</v>
      </c>
      <c r="T43">
        <v>42</v>
      </c>
      <c r="U43">
        <v>45989.688414351855</v>
      </c>
      <c r="V43">
        <v>45967.006979166668</v>
      </c>
      <c r="W43">
        <v>10</v>
      </c>
      <c r="X43">
        <v>173</v>
      </c>
      <c r="Y43" t="s">
        <v>248</v>
      </c>
      <c r="Z43" t="b">
        <v>0</v>
      </c>
      <c r="AA43" t="s">
        <v>289</v>
      </c>
    </row>
    <row r="44" spans="1:27">
      <c r="A44">
        <v>0</v>
      </c>
      <c r="B44">
        <v>43</v>
      </c>
      <c r="D44" t="s">
        <v>65</v>
      </c>
      <c r="E44" t="s">
        <v>66</v>
      </c>
      <c r="I44" t="s">
        <v>290</v>
      </c>
      <c r="J44" t="s">
        <v>282</v>
      </c>
      <c r="K44" t="s">
        <v>291</v>
      </c>
      <c r="L44" t="s">
        <v>284</v>
      </c>
      <c r="Q44">
        <v>69</v>
      </c>
      <c r="T44">
        <v>43</v>
      </c>
      <c r="U44">
        <v>45989.643055555556</v>
      </c>
      <c r="V44">
        <v>45967.007013888891</v>
      </c>
      <c r="W44">
        <v>10</v>
      </c>
      <c r="X44">
        <v>175</v>
      </c>
      <c r="Y44" t="s">
        <v>248</v>
      </c>
      <c r="Z44" t="b">
        <v>0</v>
      </c>
      <c r="AA44" t="s">
        <v>292</v>
      </c>
    </row>
    <row r="45" spans="1:27">
      <c r="A45">
        <v>0</v>
      </c>
      <c r="B45">
        <v>44</v>
      </c>
      <c r="D45" t="s">
        <v>65</v>
      </c>
      <c r="E45" t="s">
        <v>66</v>
      </c>
      <c r="I45" t="s">
        <v>293</v>
      </c>
      <c r="J45" t="s">
        <v>282</v>
      </c>
      <c r="K45" t="s">
        <v>294</v>
      </c>
      <c r="L45" t="s">
        <v>284</v>
      </c>
      <c r="M45" t="s">
        <v>295</v>
      </c>
      <c r="N45">
        <v>46052.958333333336</v>
      </c>
      <c r="O45" t="s">
        <v>296</v>
      </c>
      <c r="P45" t="s">
        <v>297</v>
      </c>
      <c r="Q45">
        <v>70</v>
      </c>
      <c r="R45" t="s">
        <v>298</v>
      </c>
      <c r="S45">
        <v>46356.958333333336</v>
      </c>
      <c r="T45">
        <v>44</v>
      </c>
      <c r="U45">
        <v>45989.373865740738</v>
      </c>
      <c r="V45">
        <v>45967.007025462961</v>
      </c>
      <c r="W45">
        <v>10</v>
      </c>
      <c r="X45">
        <v>154</v>
      </c>
      <c r="Y45" t="s">
        <v>224</v>
      </c>
      <c r="Z45" t="b">
        <v>0</v>
      </c>
      <c r="AA45" t="s">
        <v>299</v>
      </c>
    </row>
    <row r="46" spans="1:27">
      <c r="A46">
        <v>0</v>
      </c>
      <c r="B46">
        <v>45</v>
      </c>
      <c r="D46" t="s">
        <v>65</v>
      </c>
      <c r="E46" t="s">
        <v>66</v>
      </c>
      <c r="I46" t="s">
        <v>300</v>
      </c>
      <c r="J46" t="s">
        <v>301</v>
      </c>
      <c r="K46" t="s">
        <v>302</v>
      </c>
      <c r="L46" t="s">
        <v>303</v>
      </c>
      <c r="M46" t="s">
        <v>304</v>
      </c>
      <c r="N46">
        <v>46051.958333333336</v>
      </c>
      <c r="O46" t="s">
        <v>305</v>
      </c>
      <c r="P46" t="s">
        <v>306</v>
      </c>
      <c r="Q46">
        <v>74</v>
      </c>
      <c r="R46" t="s">
        <v>307</v>
      </c>
      <c r="S46">
        <v>46202.916666666664</v>
      </c>
      <c r="T46">
        <v>45</v>
      </c>
      <c r="U46">
        <v>45989.37641203704</v>
      </c>
      <c r="V46">
        <v>45967.007037037038</v>
      </c>
      <c r="W46">
        <v>10</v>
      </c>
      <c r="X46">
        <v>74</v>
      </c>
      <c r="Y46" t="s">
        <v>224</v>
      </c>
      <c r="Z46" t="b">
        <v>0</v>
      </c>
      <c r="AA46" t="s">
        <v>308</v>
      </c>
    </row>
    <row r="47" spans="1:27">
      <c r="A47">
        <v>0</v>
      </c>
      <c r="B47">
        <v>46</v>
      </c>
      <c r="D47" t="s">
        <v>65</v>
      </c>
      <c r="E47" t="s">
        <v>66</v>
      </c>
      <c r="I47" t="s">
        <v>309</v>
      </c>
      <c r="J47" t="s">
        <v>301</v>
      </c>
      <c r="K47" t="s">
        <v>310</v>
      </c>
      <c r="L47" t="s">
        <v>303</v>
      </c>
      <c r="M47" t="s">
        <v>304</v>
      </c>
      <c r="N47">
        <v>46051.958333333336</v>
      </c>
      <c r="O47" t="s">
        <v>305</v>
      </c>
      <c r="P47" t="s">
        <v>306</v>
      </c>
      <c r="Q47">
        <v>75</v>
      </c>
      <c r="R47" t="s">
        <v>311</v>
      </c>
      <c r="S47">
        <v>46370.958333333336</v>
      </c>
      <c r="T47">
        <v>46</v>
      </c>
      <c r="U47">
        <v>45989.378321759257</v>
      </c>
      <c r="V47">
        <v>45967.007071759261</v>
      </c>
      <c r="W47">
        <v>10</v>
      </c>
      <c r="X47">
        <v>74</v>
      </c>
      <c r="Y47" t="s">
        <v>224</v>
      </c>
      <c r="Z47" t="b">
        <v>0</v>
      </c>
      <c r="AA47" t="s">
        <v>312</v>
      </c>
    </row>
    <row r="48" spans="1:27">
      <c r="A48">
        <v>0</v>
      </c>
      <c r="B48">
        <v>47</v>
      </c>
      <c r="D48" t="s">
        <v>65</v>
      </c>
      <c r="E48" t="s">
        <v>66</v>
      </c>
      <c r="I48" t="s">
        <v>313</v>
      </c>
      <c r="J48" t="s">
        <v>301</v>
      </c>
      <c r="K48" t="s">
        <v>314</v>
      </c>
      <c r="L48" t="s">
        <v>303</v>
      </c>
      <c r="M48" t="s">
        <v>315</v>
      </c>
      <c r="N48">
        <v>46051.958333333336</v>
      </c>
      <c r="O48" t="s">
        <v>305</v>
      </c>
      <c r="P48" t="s">
        <v>316</v>
      </c>
      <c r="Q48">
        <v>76</v>
      </c>
      <c r="R48" t="s">
        <v>317</v>
      </c>
      <c r="S48">
        <v>46202.916666666664</v>
      </c>
      <c r="T48">
        <v>47</v>
      </c>
      <c r="U48">
        <v>45989.379687499997</v>
      </c>
      <c r="V48">
        <v>45967.007094907407</v>
      </c>
      <c r="W48">
        <v>10</v>
      </c>
      <c r="X48">
        <v>74</v>
      </c>
      <c r="Y48" t="s">
        <v>224</v>
      </c>
      <c r="Z48" t="b">
        <v>0</v>
      </c>
      <c r="AA48" t="s">
        <v>318</v>
      </c>
    </row>
    <row r="49" spans="1:27">
      <c r="A49">
        <v>0</v>
      </c>
      <c r="B49">
        <v>48</v>
      </c>
      <c r="D49" t="s">
        <v>65</v>
      </c>
      <c r="E49" t="s">
        <v>66</v>
      </c>
      <c r="I49" t="s">
        <v>319</v>
      </c>
      <c r="J49" t="s">
        <v>301</v>
      </c>
      <c r="K49" t="s">
        <v>320</v>
      </c>
      <c r="L49" t="s">
        <v>303</v>
      </c>
      <c r="M49" t="s">
        <v>321</v>
      </c>
      <c r="N49">
        <v>46051.958333333336</v>
      </c>
      <c r="O49" t="s">
        <v>305</v>
      </c>
      <c r="P49" t="s">
        <v>316</v>
      </c>
      <c r="Q49">
        <v>91</v>
      </c>
      <c r="R49" t="s">
        <v>322</v>
      </c>
      <c r="S49">
        <v>46111.916666666664</v>
      </c>
      <c r="T49">
        <v>48</v>
      </c>
      <c r="U49">
        <v>45989.381331018521</v>
      </c>
      <c r="V49">
        <v>45967.007118055553</v>
      </c>
      <c r="W49">
        <v>10</v>
      </c>
      <c r="X49">
        <v>74</v>
      </c>
      <c r="Y49" t="s">
        <v>224</v>
      </c>
      <c r="Z49" t="b">
        <v>0</v>
      </c>
      <c r="AA49" t="s">
        <v>323</v>
      </c>
    </row>
    <row r="50" spans="1:27">
      <c r="A50">
        <v>0</v>
      </c>
      <c r="B50">
        <v>49</v>
      </c>
      <c r="D50" t="s">
        <v>65</v>
      </c>
      <c r="E50" t="s">
        <v>66</v>
      </c>
      <c r="I50" t="s">
        <v>324</v>
      </c>
      <c r="J50" t="s">
        <v>325</v>
      </c>
      <c r="K50" t="s">
        <v>326</v>
      </c>
      <c r="L50" t="s">
        <v>327</v>
      </c>
      <c r="Q50">
        <v>80</v>
      </c>
      <c r="T50">
        <v>49</v>
      </c>
      <c r="U50">
        <v>45967.00712962963</v>
      </c>
      <c r="V50">
        <v>45967.00712962963</v>
      </c>
      <c r="W50">
        <v>10</v>
      </c>
      <c r="X50">
        <v>10</v>
      </c>
      <c r="Y50" t="s">
        <v>94</v>
      </c>
      <c r="Z50" t="b">
        <v>0</v>
      </c>
      <c r="AA50" t="s">
        <v>328</v>
      </c>
    </row>
    <row r="51" spans="1:27">
      <c r="A51">
        <v>0</v>
      </c>
      <c r="B51">
        <v>50</v>
      </c>
      <c r="D51" t="s">
        <v>65</v>
      </c>
      <c r="E51" t="s">
        <v>66</v>
      </c>
      <c r="I51" t="s">
        <v>329</v>
      </c>
      <c r="J51" t="s">
        <v>325</v>
      </c>
      <c r="K51" t="s">
        <v>330</v>
      </c>
      <c r="L51" t="s">
        <v>327</v>
      </c>
      <c r="Q51">
        <v>81</v>
      </c>
      <c r="T51">
        <v>50</v>
      </c>
      <c r="U51">
        <v>45967.007164351853</v>
      </c>
      <c r="V51">
        <v>45967.007164351853</v>
      </c>
      <c r="W51">
        <v>10</v>
      </c>
      <c r="X51">
        <v>10</v>
      </c>
      <c r="Y51" t="s">
        <v>94</v>
      </c>
      <c r="Z51" t="b">
        <v>0</v>
      </c>
      <c r="AA51" t="s">
        <v>331</v>
      </c>
    </row>
    <row r="52" spans="1:27">
      <c r="A52">
        <v>0</v>
      </c>
      <c r="B52">
        <v>51</v>
      </c>
      <c r="D52" t="s">
        <v>65</v>
      </c>
      <c r="E52" t="s">
        <v>66</v>
      </c>
      <c r="I52" t="s">
        <v>332</v>
      </c>
      <c r="J52" t="s">
        <v>325</v>
      </c>
      <c r="K52" t="s">
        <v>333</v>
      </c>
      <c r="L52" t="s">
        <v>327</v>
      </c>
      <c r="Q52">
        <v>83</v>
      </c>
      <c r="T52">
        <v>51</v>
      </c>
      <c r="U52">
        <v>45967.007175925923</v>
      </c>
      <c r="V52">
        <v>45967.007175925923</v>
      </c>
      <c r="W52">
        <v>10</v>
      </c>
      <c r="X52">
        <v>10</v>
      </c>
      <c r="Y52" t="s">
        <v>94</v>
      </c>
      <c r="Z52" t="b">
        <v>0</v>
      </c>
      <c r="AA52" t="s">
        <v>334</v>
      </c>
    </row>
    <row r="53" spans="1:27">
      <c r="A53">
        <v>0</v>
      </c>
      <c r="B53">
        <v>52</v>
      </c>
      <c r="D53" t="s">
        <v>65</v>
      </c>
      <c r="E53" t="s">
        <v>66</v>
      </c>
      <c r="I53" t="s">
        <v>335</v>
      </c>
      <c r="J53" t="s">
        <v>336</v>
      </c>
      <c r="K53" t="s">
        <v>337</v>
      </c>
      <c r="L53" t="s">
        <v>338</v>
      </c>
      <c r="Q53">
        <v>88</v>
      </c>
      <c r="T53">
        <v>52</v>
      </c>
      <c r="U53">
        <v>45967.007210648146</v>
      </c>
      <c r="V53">
        <v>45967.007210648146</v>
      </c>
      <c r="W53">
        <v>10</v>
      </c>
      <c r="X53">
        <v>10</v>
      </c>
      <c r="Y53" t="s">
        <v>94</v>
      </c>
      <c r="Z53" t="b">
        <v>0</v>
      </c>
      <c r="AA53" t="s">
        <v>339</v>
      </c>
    </row>
    <row r="54" spans="1:27">
      <c r="A54">
        <v>0</v>
      </c>
      <c r="B54">
        <v>53</v>
      </c>
      <c r="D54" t="s">
        <v>65</v>
      </c>
      <c r="E54" t="s">
        <v>66</v>
      </c>
      <c r="I54" t="s">
        <v>340</v>
      </c>
      <c r="J54" t="s">
        <v>336</v>
      </c>
      <c r="K54" t="s">
        <v>341</v>
      </c>
      <c r="L54" t="s">
        <v>338</v>
      </c>
      <c r="Q54">
        <v>89</v>
      </c>
      <c r="T54">
        <v>53</v>
      </c>
      <c r="U54">
        <v>45967.007222222222</v>
      </c>
      <c r="V54">
        <v>45967.007222222222</v>
      </c>
      <c r="W54">
        <v>10</v>
      </c>
      <c r="X54">
        <v>10</v>
      </c>
      <c r="Y54" t="s">
        <v>94</v>
      </c>
      <c r="Z54" t="b">
        <v>0</v>
      </c>
      <c r="AA54" t="s">
        <v>342</v>
      </c>
    </row>
    <row r="55" spans="1:27">
      <c r="A55">
        <v>0</v>
      </c>
      <c r="B55">
        <v>54</v>
      </c>
      <c r="D55" t="s">
        <v>65</v>
      </c>
      <c r="E55" t="s">
        <v>66</v>
      </c>
      <c r="I55" t="s">
        <v>343</v>
      </c>
      <c r="J55" t="s">
        <v>336</v>
      </c>
      <c r="K55" t="s">
        <v>344</v>
      </c>
      <c r="L55" t="s">
        <v>338</v>
      </c>
      <c r="Q55">
        <v>92</v>
      </c>
      <c r="T55">
        <v>54</v>
      </c>
      <c r="U55">
        <v>45967.007256944446</v>
      </c>
      <c r="V55">
        <v>45967.007256944446</v>
      </c>
      <c r="W55">
        <v>10</v>
      </c>
      <c r="X55">
        <v>10</v>
      </c>
      <c r="Y55" t="s">
        <v>94</v>
      </c>
      <c r="Z55" t="b">
        <v>0</v>
      </c>
      <c r="AA55" t="s">
        <v>345</v>
      </c>
    </row>
    <row r="56" spans="1:27">
      <c r="A56">
        <v>0</v>
      </c>
      <c r="B56">
        <v>55</v>
      </c>
      <c r="D56" t="s">
        <v>65</v>
      </c>
      <c r="E56" t="s">
        <v>66</v>
      </c>
      <c r="I56" t="s">
        <v>346</v>
      </c>
      <c r="J56" t="s">
        <v>347</v>
      </c>
      <c r="K56" t="s">
        <v>348</v>
      </c>
      <c r="L56" t="s">
        <v>349</v>
      </c>
      <c r="M56" t="s">
        <v>350</v>
      </c>
      <c r="N56">
        <v>46051.958333333336</v>
      </c>
      <c r="O56" t="s">
        <v>351</v>
      </c>
      <c r="P56" t="s">
        <v>352</v>
      </c>
      <c r="Q56">
        <v>93</v>
      </c>
      <c r="R56" t="s">
        <v>353</v>
      </c>
      <c r="S56">
        <v>46170.916666666664</v>
      </c>
      <c r="T56">
        <v>55</v>
      </c>
      <c r="U56">
        <v>45988.479317129626</v>
      </c>
      <c r="V56">
        <v>45967.007268518515</v>
      </c>
      <c r="W56">
        <v>10</v>
      </c>
      <c r="X56">
        <v>74</v>
      </c>
      <c r="Y56" t="s">
        <v>224</v>
      </c>
      <c r="Z56" t="b">
        <v>0</v>
      </c>
      <c r="AA56" t="s">
        <v>354</v>
      </c>
    </row>
    <row r="57" spans="1:27">
      <c r="A57">
        <v>0</v>
      </c>
      <c r="B57">
        <v>56</v>
      </c>
      <c r="D57" t="s">
        <v>65</v>
      </c>
      <c r="E57" t="s">
        <v>66</v>
      </c>
      <c r="I57" t="s">
        <v>355</v>
      </c>
      <c r="J57" t="s">
        <v>356</v>
      </c>
      <c r="K57" t="s">
        <v>357</v>
      </c>
      <c r="L57" t="s">
        <v>70</v>
      </c>
      <c r="Q57">
        <v>1</v>
      </c>
      <c r="T57">
        <v>56</v>
      </c>
      <c r="U57">
        <v>45967.007291666669</v>
      </c>
      <c r="V57">
        <v>45967.007291666669</v>
      </c>
      <c r="W57">
        <v>10</v>
      </c>
      <c r="X57">
        <v>10</v>
      </c>
      <c r="Y57" t="s">
        <v>94</v>
      </c>
      <c r="Z57" t="b">
        <v>0</v>
      </c>
      <c r="AA57" t="s">
        <v>358</v>
      </c>
    </row>
    <row r="58" spans="1:27">
      <c r="A58">
        <v>0</v>
      </c>
      <c r="B58">
        <v>57</v>
      </c>
      <c r="D58" t="s">
        <v>65</v>
      </c>
      <c r="E58" t="s">
        <v>66</v>
      </c>
      <c r="I58" t="s">
        <v>359</v>
      </c>
      <c r="J58" t="s">
        <v>356</v>
      </c>
      <c r="K58" t="s">
        <v>360</v>
      </c>
      <c r="L58" t="s">
        <v>70</v>
      </c>
      <c r="Q58">
        <v>2</v>
      </c>
      <c r="T58">
        <v>57</v>
      </c>
      <c r="U58">
        <v>45967.007314814815</v>
      </c>
      <c r="V58">
        <v>45967.007314814815</v>
      </c>
      <c r="W58">
        <v>10</v>
      </c>
      <c r="X58">
        <v>10</v>
      </c>
      <c r="Y58" t="s">
        <v>94</v>
      </c>
      <c r="Z58" t="b">
        <v>0</v>
      </c>
      <c r="AA58" t="s">
        <v>361</v>
      </c>
    </row>
    <row r="59" spans="1:27">
      <c r="A59">
        <v>0</v>
      </c>
      <c r="B59">
        <v>58</v>
      </c>
      <c r="D59" t="s">
        <v>65</v>
      </c>
      <c r="E59" t="s">
        <v>66</v>
      </c>
      <c r="I59" t="s">
        <v>362</v>
      </c>
      <c r="J59" t="s">
        <v>356</v>
      </c>
      <c r="K59" t="s">
        <v>363</v>
      </c>
      <c r="L59" t="s">
        <v>70</v>
      </c>
      <c r="Q59">
        <v>3</v>
      </c>
      <c r="T59">
        <v>58</v>
      </c>
      <c r="U59">
        <v>45967.007337962961</v>
      </c>
      <c r="V59">
        <v>45967.007337962961</v>
      </c>
      <c r="W59">
        <v>10</v>
      </c>
      <c r="X59">
        <v>10</v>
      </c>
      <c r="Y59" t="s">
        <v>94</v>
      </c>
      <c r="Z59" t="b">
        <v>0</v>
      </c>
      <c r="AA59" t="s">
        <v>364</v>
      </c>
    </row>
    <row r="60" spans="1:27">
      <c r="A60">
        <v>0</v>
      </c>
      <c r="B60">
        <v>59</v>
      </c>
      <c r="D60" t="s">
        <v>65</v>
      </c>
      <c r="E60" t="s">
        <v>66</v>
      </c>
      <c r="I60" t="s">
        <v>365</v>
      </c>
      <c r="J60" t="s">
        <v>356</v>
      </c>
      <c r="K60" t="s">
        <v>366</v>
      </c>
      <c r="L60" t="s">
        <v>70</v>
      </c>
      <c r="Q60">
        <v>6</v>
      </c>
      <c r="T60">
        <v>59</v>
      </c>
      <c r="U60">
        <v>45967.007349537038</v>
      </c>
      <c r="V60">
        <v>45967.007349537038</v>
      </c>
      <c r="W60">
        <v>10</v>
      </c>
      <c r="X60">
        <v>10</v>
      </c>
      <c r="Y60" t="s">
        <v>94</v>
      </c>
      <c r="Z60" t="b">
        <v>0</v>
      </c>
      <c r="AA60" t="s">
        <v>367</v>
      </c>
    </row>
    <row r="61" spans="1:27">
      <c r="A61">
        <v>0</v>
      </c>
      <c r="B61">
        <v>60</v>
      </c>
      <c r="D61" t="s">
        <v>65</v>
      </c>
      <c r="E61" t="s">
        <v>66</v>
      </c>
      <c r="I61" t="s">
        <v>368</v>
      </c>
      <c r="J61" t="s">
        <v>356</v>
      </c>
      <c r="K61" t="s">
        <v>369</v>
      </c>
      <c r="L61" t="s">
        <v>70</v>
      </c>
      <c r="Q61">
        <v>7</v>
      </c>
      <c r="T61">
        <v>60</v>
      </c>
      <c r="U61">
        <v>45967.007384259261</v>
      </c>
      <c r="V61">
        <v>45967.007384259261</v>
      </c>
      <c r="W61">
        <v>10</v>
      </c>
      <c r="X61">
        <v>10</v>
      </c>
      <c r="Y61" t="s">
        <v>94</v>
      </c>
      <c r="Z61" t="b">
        <v>0</v>
      </c>
      <c r="AA61" t="s">
        <v>370</v>
      </c>
    </row>
    <row r="62" spans="1:27">
      <c r="A62">
        <v>0</v>
      </c>
      <c r="B62">
        <v>61</v>
      </c>
      <c r="D62" t="s">
        <v>65</v>
      </c>
      <c r="E62" t="s">
        <v>66</v>
      </c>
      <c r="I62" t="s">
        <v>371</v>
      </c>
      <c r="J62" t="s">
        <v>356</v>
      </c>
      <c r="K62" t="s">
        <v>372</v>
      </c>
      <c r="L62" t="s">
        <v>70</v>
      </c>
      <c r="Q62">
        <v>8</v>
      </c>
      <c r="T62">
        <v>61</v>
      </c>
      <c r="U62">
        <v>45967.007407407407</v>
      </c>
      <c r="V62">
        <v>45967.007407407407</v>
      </c>
      <c r="W62">
        <v>10</v>
      </c>
      <c r="X62">
        <v>10</v>
      </c>
      <c r="Y62" t="s">
        <v>94</v>
      </c>
      <c r="Z62" t="b">
        <v>0</v>
      </c>
      <c r="AA62" t="s">
        <v>373</v>
      </c>
    </row>
    <row r="63" spans="1:27">
      <c r="A63">
        <v>0</v>
      </c>
      <c r="B63">
        <v>62</v>
      </c>
      <c r="D63" t="s">
        <v>65</v>
      </c>
      <c r="E63" t="s">
        <v>66</v>
      </c>
      <c r="I63" t="s">
        <v>374</v>
      </c>
      <c r="J63" t="s">
        <v>356</v>
      </c>
      <c r="K63" t="s">
        <v>375</v>
      </c>
      <c r="L63" t="s">
        <v>70</v>
      </c>
      <c r="Q63">
        <v>9</v>
      </c>
      <c r="T63">
        <v>62</v>
      </c>
      <c r="U63">
        <v>45967.007418981484</v>
      </c>
      <c r="V63">
        <v>45967.007418981484</v>
      </c>
      <c r="W63">
        <v>10</v>
      </c>
      <c r="X63">
        <v>10</v>
      </c>
      <c r="Y63" t="s">
        <v>94</v>
      </c>
      <c r="Z63" t="b">
        <v>0</v>
      </c>
      <c r="AA63" t="s">
        <v>376</v>
      </c>
    </row>
    <row r="64" spans="1:27">
      <c r="A64">
        <v>0</v>
      </c>
      <c r="B64">
        <v>63</v>
      </c>
      <c r="D64" t="s">
        <v>65</v>
      </c>
      <c r="E64" t="s">
        <v>66</v>
      </c>
      <c r="I64" t="s">
        <v>377</v>
      </c>
      <c r="J64" t="s">
        <v>356</v>
      </c>
      <c r="K64" t="s">
        <v>378</v>
      </c>
      <c r="L64" t="s">
        <v>70</v>
      </c>
      <c r="Q64">
        <v>10</v>
      </c>
      <c r="T64">
        <v>63</v>
      </c>
      <c r="U64">
        <v>45967.00744212963</v>
      </c>
      <c r="V64">
        <v>45967.00744212963</v>
      </c>
      <c r="W64">
        <v>10</v>
      </c>
      <c r="X64">
        <v>10</v>
      </c>
      <c r="Y64" t="s">
        <v>94</v>
      </c>
      <c r="Z64" t="b">
        <v>0</v>
      </c>
      <c r="AA64" t="s">
        <v>379</v>
      </c>
    </row>
    <row r="65" spans="1:27">
      <c r="A65">
        <v>0</v>
      </c>
      <c r="B65">
        <v>64</v>
      </c>
      <c r="D65" t="s">
        <v>65</v>
      </c>
      <c r="E65" t="s">
        <v>66</v>
      </c>
      <c r="I65" t="s">
        <v>380</v>
      </c>
      <c r="J65" t="s">
        <v>356</v>
      </c>
      <c r="K65" t="s">
        <v>381</v>
      </c>
      <c r="L65" t="s">
        <v>70</v>
      </c>
      <c r="Q65">
        <v>11</v>
      </c>
      <c r="T65">
        <v>64</v>
      </c>
      <c r="U65">
        <v>45967.007488425923</v>
      </c>
      <c r="V65">
        <v>45967.007488425923</v>
      </c>
      <c r="W65">
        <v>10</v>
      </c>
      <c r="X65">
        <v>10</v>
      </c>
      <c r="Y65" t="s">
        <v>94</v>
      </c>
      <c r="Z65" t="b">
        <v>0</v>
      </c>
      <c r="AA65" t="s">
        <v>382</v>
      </c>
    </row>
    <row r="66" spans="1:27">
      <c r="A66">
        <v>0</v>
      </c>
      <c r="B66">
        <v>65</v>
      </c>
      <c r="D66" t="s">
        <v>65</v>
      </c>
      <c r="E66" t="s">
        <v>66</v>
      </c>
      <c r="I66" t="s">
        <v>383</v>
      </c>
      <c r="J66" t="s">
        <v>356</v>
      </c>
      <c r="K66" t="s">
        <v>384</v>
      </c>
      <c r="L66" t="s">
        <v>70</v>
      </c>
      <c r="Q66">
        <v>49</v>
      </c>
      <c r="T66">
        <v>65</v>
      </c>
      <c r="U66">
        <v>45967.0075</v>
      </c>
      <c r="V66">
        <v>45967.0075</v>
      </c>
      <c r="W66">
        <v>10</v>
      </c>
      <c r="X66">
        <v>10</v>
      </c>
      <c r="Y66" t="s">
        <v>94</v>
      </c>
      <c r="Z66" t="b">
        <v>0</v>
      </c>
      <c r="AA66" t="s">
        <v>385</v>
      </c>
    </row>
    <row r="67" spans="1:27">
      <c r="A67">
        <v>0</v>
      </c>
      <c r="B67">
        <v>66</v>
      </c>
      <c r="D67" t="s">
        <v>65</v>
      </c>
      <c r="E67" t="s">
        <v>66</v>
      </c>
      <c r="I67" t="s">
        <v>386</v>
      </c>
      <c r="J67" t="s">
        <v>356</v>
      </c>
      <c r="K67" t="s">
        <v>387</v>
      </c>
      <c r="L67" t="s">
        <v>70</v>
      </c>
      <c r="Q67">
        <v>52</v>
      </c>
      <c r="T67">
        <v>66</v>
      </c>
      <c r="U67">
        <v>45967.007523148146</v>
      </c>
      <c r="V67">
        <v>45967.007523148146</v>
      </c>
      <c r="W67">
        <v>10</v>
      </c>
      <c r="X67">
        <v>10</v>
      </c>
      <c r="Y67" t="s">
        <v>94</v>
      </c>
      <c r="Z67" t="b">
        <v>0</v>
      </c>
      <c r="AA67" t="s">
        <v>388</v>
      </c>
    </row>
    <row r="68" spans="1:27">
      <c r="A68">
        <v>0</v>
      </c>
      <c r="B68">
        <v>67</v>
      </c>
      <c r="D68" t="s">
        <v>65</v>
      </c>
      <c r="E68" t="s">
        <v>66</v>
      </c>
      <c r="I68" t="s">
        <v>389</v>
      </c>
      <c r="J68" t="s">
        <v>356</v>
      </c>
      <c r="K68" t="s">
        <v>390</v>
      </c>
      <c r="L68" t="s">
        <v>70</v>
      </c>
      <c r="Q68">
        <v>55</v>
      </c>
      <c r="T68">
        <v>67</v>
      </c>
      <c r="U68">
        <v>45967.007534722223</v>
      </c>
      <c r="V68">
        <v>45967.007534722223</v>
      </c>
      <c r="W68">
        <v>10</v>
      </c>
      <c r="X68">
        <v>10</v>
      </c>
      <c r="Y68" t="s">
        <v>94</v>
      </c>
      <c r="Z68" t="b">
        <v>0</v>
      </c>
      <c r="AA68" t="s">
        <v>391</v>
      </c>
    </row>
    <row r="69" spans="1:27">
      <c r="A69">
        <v>0</v>
      </c>
      <c r="B69">
        <v>68</v>
      </c>
      <c r="D69" t="s">
        <v>65</v>
      </c>
      <c r="E69" t="s">
        <v>66</v>
      </c>
      <c r="I69" t="s">
        <v>392</v>
      </c>
      <c r="J69" t="s">
        <v>356</v>
      </c>
      <c r="K69" t="s">
        <v>393</v>
      </c>
      <c r="L69" t="s">
        <v>70</v>
      </c>
      <c r="Q69">
        <v>58</v>
      </c>
      <c r="T69">
        <v>68</v>
      </c>
      <c r="U69">
        <v>45967.007557870369</v>
      </c>
      <c r="V69">
        <v>45967.007557870369</v>
      </c>
      <c r="W69">
        <v>10</v>
      </c>
      <c r="X69">
        <v>10</v>
      </c>
      <c r="Y69" t="s">
        <v>94</v>
      </c>
      <c r="Z69" t="b">
        <v>0</v>
      </c>
      <c r="AA69" t="s">
        <v>394</v>
      </c>
    </row>
    <row r="70" spans="1:27">
      <c r="A70">
        <v>0</v>
      </c>
      <c r="B70">
        <v>69</v>
      </c>
      <c r="D70" t="s">
        <v>65</v>
      </c>
      <c r="E70" t="s">
        <v>66</v>
      </c>
      <c r="I70" t="s">
        <v>395</v>
      </c>
      <c r="J70" t="s">
        <v>396</v>
      </c>
      <c r="K70" t="s">
        <v>397</v>
      </c>
      <c r="L70" t="s">
        <v>398</v>
      </c>
      <c r="Q70">
        <v>5</v>
      </c>
      <c r="T70">
        <v>69</v>
      </c>
      <c r="U70">
        <v>45967.007592592592</v>
      </c>
      <c r="V70">
        <v>45967.007592592592</v>
      </c>
      <c r="W70">
        <v>10</v>
      </c>
      <c r="X70">
        <v>10</v>
      </c>
      <c r="Y70" t="s">
        <v>94</v>
      </c>
      <c r="Z70" t="b">
        <v>0</v>
      </c>
      <c r="AA70" t="s">
        <v>399</v>
      </c>
    </row>
    <row r="71" spans="1:27">
      <c r="A71">
        <v>0</v>
      </c>
      <c r="B71">
        <v>70</v>
      </c>
      <c r="D71" t="s">
        <v>65</v>
      </c>
      <c r="E71" t="s">
        <v>66</v>
      </c>
      <c r="I71" t="s">
        <v>400</v>
      </c>
      <c r="J71" t="s">
        <v>396</v>
      </c>
      <c r="K71" t="s">
        <v>401</v>
      </c>
      <c r="L71" t="s">
        <v>398</v>
      </c>
      <c r="Q71">
        <v>53</v>
      </c>
      <c r="T71">
        <v>70</v>
      </c>
      <c r="U71">
        <v>45967.007604166669</v>
      </c>
      <c r="V71">
        <v>45967.007604166669</v>
      </c>
      <c r="W71">
        <v>10</v>
      </c>
      <c r="X71">
        <v>10</v>
      </c>
      <c r="Y71" t="s">
        <v>94</v>
      </c>
      <c r="Z71" t="b">
        <v>0</v>
      </c>
      <c r="AA71" t="s">
        <v>402</v>
      </c>
    </row>
    <row r="72" spans="1:27">
      <c r="A72">
        <v>0</v>
      </c>
      <c r="B72">
        <v>71</v>
      </c>
      <c r="D72" t="s">
        <v>65</v>
      </c>
      <c r="E72" t="s">
        <v>66</v>
      </c>
      <c r="I72" t="s">
        <v>403</v>
      </c>
      <c r="J72" t="s">
        <v>404</v>
      </c>
      <c r="K72" t="s">
        <v>405</v>
      </c>
      <c r="L72" t="s">
        <v>406</v>
      </c>
      <c r="M72" t="s">
        <v>407</v>
      </c>
      <c r="N72">
        <v>46141.916666666664</v>
      </c>
      <c r="O72" t="s">
        <v>408</v>
      </c>
      <c r="P72" t="s">
        <v>409</v>
      </c>
      <c r="Q72">
        <v>4</v>
      </c>
      <c r="R72" t="s">
        <v>410</v>
      </c>
      <c r="S72">
        <v>46233.916666666664</v>
      </c>
      <c r="T72">
        <v>71</v>
      </c>
      <c r="U72">
        <v>45992.674768518518</v>
      </c>
      <c r="V72">
        <v>45967.007627314815</v>
      </c>
      <c r="W72">
        <v>10</v>
      </c>
      <c r="X72">
        <v>83</v>
      </c>
      <c r="Y72" t="s">
        <v>122</v>
      </c>
      <c r="Z72" t="b">
        <v>0</v>
      </c>
      <c r="AA72" t="s">
        <v>411</v>
      </c>
    </row>
    <row r="73" spans="1:27">
      <c r="A73">
        <v>0</v>
      </c>
      <c r="B73">
        <v>72</v>
      </c>
      <c r="D73" t="s">
        <v>65</v>
      </c>
      <c r="E73" t="s">
        <v>66</v>
      </c>
      <c r="I73" t="s">
        <v>412</v>
      </c>
      <c r="J73" t="s">
        <v>404</v>
      </c>
      <c r="K73" t="s">
        <v>413</v>
      </c>
      <c r="L73" t="s">
        <v>406</v>
      </c>
      <c r="M73" t="s">
        <v>414</v>
      </c>
      <c r="O73" t="s">
        <v>415</v>
      </c>
      <c r="P73" t="s">
        <v>416</v>
      </c>
      <c r="Q73">
        <v>12</v>
      </c>
      <c r="R73" t="s">
        <v>417</v>
      </c>
      <c r="T73">
        <v>72</v>
      </c>
      <c r="U73">
        <v>45987.923807870371</v>
      </c>
      <c r="V73">
        <v>45967.007650462961</v>
      </c>
      <c r="W73">
        <v>10</v>
      </c>
      <c r="X73">
        <v>232</v>
      </c>
      <c r="Y73" t="s">
        <v>224</v>
      </c>
      <c r="Z73" t="b">
        <v>0</v>
      </c>
      <c r="AA73" t="s">
        <v>418</v>
      </c>
    </row>
    <row r="74" spans="1:27">
      <c r="A74">
        <v>0</v>
      </c>
      <c r="B74">
        <v>73</v>
      </c>
      <c r="D74" t="s">
        <v>65</v>
      </c>
      <c r="E74" t="s">
        <v>66</v>
      </c>
      <c r="I74" t="s">
        <v>419</v>
      </c>
      <c r="J74" t="s">
        <v>404</v>
      </c>
      <c r="K74" t="s">
        <v>420</v>
      </c>
      <c r="L74" t="s">
        <v>406</v>
      </c>
      <c r="M74" t="s">
        <v>421</v>
      </c>
      <c r="O74" t="s">
        <v>415</v>
      </c>
      <c r="P74" t="s">
        <v>422</v>
      </c>
      <c r="Q74">
        <v>13</v>
      </c>
      <c r="R74" t="s">
        <v>423</v>
      </c>
      <c r="T74">
        <v>73</v>
      </c>
      <c r="U74">
        <v>45991.058877314812</v>
      </c>
      <c r="V74">
        <v>45967.007685185185</v>
      </c>
      <c r="W74">
        <v>10</v>
      </c>
      <c r="X74">
        <v>232</v>
      </c>
      <c r="Y74" t="s">
        <v>224</v>
      </c>
      <c r="Z74" t="b">
        <v>0</v>
      </c>
      <c r="AA74" t="s">
        <v>424</v>
      </c>
    </row>
    <row r="75" spans="1:27">
      <c r="A75">
        <v>0</v>
      </c>
      <c r="B75">
        <v>74</v>
      </c>
      <c r="D75" t="s">
        <v>65</v>
      </c>
      <c r="E75" t="s">
        <v>66</v>
      </c>
      <c r="I75" t="s">
        <v>425</v>
      </c>
      <c r="J75" t="s">
        <v>426</v>
      </c>
      <c r="K75" t="s">
        <v>427</v>
      </c>
      <c r="L75" t="s">
        <v>428</v>
      </c>
      <c r="M75" t="s">
        <v>429</v>
      </c>
      <c r="N75">
        <v>46008.958333333336</v>
      </c>
      <c r="O75" t="s">
        <v>430</v>
      </c>
      <c r="P75" t="s">
        <v>431</v>
      </c>
      <c r="Q75">
        <v>29</v>
      </c>
      <c r="R75" t="s">
        <v>432</v>
      </c>
      <c r="S75">
        <v>46365.958333333336</v>
      </c>
      <c r="T75">
        <v>74</v>
      </c>
      <c r="U75">
        <v>45988.608993055554</v>
      </c>
      <c r="V75">
        <v>45967.007696759261</v>
      </c>
      <c r="W75">
        <v>10</v>
      </c>
      <c r="X75">
        <v>214</v>
      </c>
      <c r="Y75" t="s">
        <v>81</v>
      </c>
      <c r="Z75" t="b">
        <v>0</v>
      </c>
      <c r="AA75" t="s">
        <v>433</v>
      </c>
    </row>
    <row r="76" spans="1:27">
      <c r="A76">
        <v>0</v>
      </c>
      <c r="B76">
        <v>75</v>
      </c>
      <c r="D76" t="s">
        <v>65</v>
      </c>
      <c r="E76" t="s">
        <v>66</v>
      </c>
      <c r="I76" t="s">
        <v>434</v>
      </c>
      <c r="J76" t="s">
        <v>435</v>
      </c>
      <c r="K76" t="s">
        <v>436</v>
      </c>
      <c r="L76" t="s">
        <v>437</v>
      </c>
      <c r="Q76">
        <v>32</v>
      </c>
      <c r="T76">
        <v>75</v>
      </c>
      <c r="U76">
        <v>45987.641122685185</v>
      </c>
      <c r="V76">
        <v>45967.007731481484</v>
      </c>
      <c r="W76">
        <v>10</v>
      </c>
      <c r="X76">
        <v>83</v>
      </c>
      <c r="Y76" t="s">
        <v>438</v>
      </c>
      <c r="Z76" t="b">
        <v>0</v>
      </c>
      <c r="AA76" t="s">
        <v>439</v>
      </c>
    </row>
    <row r="77" spans="1:27">
      <c r="A77">
        <v>0</v>
      </c>
      <c r="B77">
        <v>76</v>
      </c>
      <c r="D77" t="s">
        <v>65</v>
      </c>
      <c r="E77" t="s">
        <v>66</v>
      </c>
      <c r="I77" t="s">
        <v>440</v>
      </c>
      <c r="J77" t="s">
        <v>441</v>
      </c>
      <c r="K77" t="s">
        <v>442</v>
      </c>
      <c r="L77" t="s">
        <v>443</v>
      </c>
      <c r="M77" t="s">
        <v>444</v>
      </c>
      <c r="N77">
        <v>46052.958333333336</v>
      </c>
      <c r="O77" t="s">
        <v>445</v>
      </c>
      <c r="P77" t="s">
        <v>446</v>
      </c>
      <c r="Q77">
        <v>35</v>
      </c>
      <c r="R77" t="s">
        <v>447</v>
      </c>
      <c r="T77">
        <v>76</v>
      </c>
      <c r="U77">
        <v>45992.675219907411</v>
      </c>
      <c r="V77">
        <v>45967.007743055554</v>
      </c>
      <c r="W77">
        <v>10</v>
      </c>
      <c r="X77">
        <v>282</v>
      </c>
      <c r="Y77" t="s">
        <v>224</v>
      </c>
      <c r="Z77" t="b">
        <v>0</v>
      </c>
      <c r="AA77" t="s">
        <v>448</v>
      </c>
    </row>
    <row r="78" spans="1:27">
      <c r="A78">
        <v>0</v>
      </c>
      <c r="B78">
        <v>77</v>
      </c>
      <c r="D78" t="s">
        <v>65</v>
      </c>
      <c r="E78" t="s">
        <v>66</v>
      </c>
      <c r="I78" t="s">
        <v>449</v>
      </c>
      <c r="J78" t="s">
        <v>450</v>
      </c>
      <c r="K78" t="s">
        <v>451</v>
      </c>
      <c r="L78" t="s">
        <v>452</v>
      </c>
      <c r="Q78">
        <v>30</v>
      </c>
      <c r="T78">
        <v>77</v>
      </c>
      <c r="U78">
        <v>45967.0077662037</v>
      </c>
      <c r="V78">
        <v>45967.0077662037</v>
      </c>
      <c r="W78">
        <v>10</v>
      </c>
      <c r="X78">
        <v>10</v>
      </c>
      <c r="Y78" t="s">
        <v>94</v>
      </c>
      <c r="Z78" t="b">
        <v>0</v>
      </c>
      <c r="AA78" t="s">
        <v>453</v>
      </c>
    </row>
    <row r="79" spans="1:27">
      <c r="A79">
        <v>0</v>
      </c>
      <c r="B79">
        <v>78</v>
      </c>
      <c r="D79" t="s">
        <v>65</v>
      </c>
      <c r="E79" t="s">
        <v>66</v>
      </c>
      <c r="I79" t="s">
        <v>454</v>
      </c>
      <c r="J79" t="s">
        <v>450</v>
      </c>
      <c r="K79" t="s">
        <v>455</v>
      </c>
      <c r="L79" t="s">
        <v>452</v>
      </c>
      <c r="Q79">
        <v>31</v>
      </c>
      <c r="T79">
        <v>78</v>
      </c>
      <c r="U79">
        <v>45967.007789351854</v>
      </c>
      <c r="V79">
        <v>45967.007789351854</v>
      </c>
      <c r="W79">
        <v>10</v>
      </c>
      <c r="X79">
        <v>10</v>
      </c>
      <c r="Y79" t="s">
        <v>94</v>
      </c>
      <c r="Z79" t="b">
        <v>0</v>
      </c>
      <c r="AA79" t="s">
        <v>456</v>
      </c>
    </row>
    <row r="80" spans="1:27">
      <c r="A80">
        <v>0</v>
      </c>
      <c r="B80">
        <v>79</v>
      </c>
      <c r="D80" t="s">
        <v>65</v>
      </c>
      <c r="E80" t="s">
        <v>66</v>
      </c>
      <c r="I80" t="s">
        <v>457</v>
      </c>
      <c r="J80" t="s">
        <v>450</v>
      </c>
      <c r="K80" t="s">
        <v>458</v>
      </c>
      <c r="L80" t="s">
        <v>452</v>
      </c>
      <c r="Q80">
        <v>38</v>
      </c>
      <c r="T80">
        <v>79</v>
      </c>
      <c r="U80">
        <v>45967.0078125</v>
      </c>
      <c r="V80">
        <v>45967.0078125</v>
      </c>
      <c r="W80">
        <v>10</v>
      </c>
      <c r="X80">
        <v>10</v>
      </c>
      <c r="Y80" t="s">
        <v>94</v>
      </c>
      <c r="Z80" t="b">
        <v>0</v>
      </c>
      <c r="AA80" t="s">
        <v>459</v>
      </c>
    </row>
    <row r="81" spans="1:27">
      <c r="A81">
        <v>0</v>
      </c>
      <c r="B81">
        <v>80</v>
      </c>
      <c r="D81" t="s">
        <v>65</v>
      </c>
      <c r="E81" t="s">
        <v>66</v>
      </c>
      <c r="I81" t="s">
        <v>460</v>
      </c>
      <c r="J81" t="s">
        <v>461</v>
      </c>
      <c r="K81" t="s">
        <v>462</v>
      </c>
      <c r="L81" t="s">
        <v>35</v>
      </c>
      <c r="Q81">
        <v>79</v>
      </c>
      <c r="T81">
        <v>80</v>
      </c>
      <c r="U81">
        <v>45967.007824074077</v>
      </c>
      <c r="V81">
        <v>45967.007824074077</v>
      </c>
      <c r="W81">
        <v>10</v>
      </c>
      <c r="X81">
        <v>10</v>
      </c>
      <c r="Y81" t="s">
        <v>94</v>
      </c>
      <c r="Z81" t="b">
        <v>0</v>
      </c>
      <c r="AA81" t="s">
        <v>463</v>
      </c>
    </row>
    <row r="82" spans="1:27">
      <c r="A82">
        <v>0</v>
      </c>
      <c r="B82">
        <v>81</v>
      </c>
      <c r="D82" t="s">
        <v>65</v>
      </c>
      <c r="E82" t="s">
        <v>66</v>
      </c>
      <c r="I82" t="s">
        <v>464</v>
      </c>
      <c r="J82" t="s">
        <v>461</v>
      </c>
      <c r="K82" t="s">
        <v>465</v>
      </c>
      <c r="L82" t="s">
        <v>35</v>
      </c>
      <c r="Q82">
        <v>82</v>
      </c>
      <c r="T82">
        <v>81</v>
      </c>
      <c r="U82">
        <v>45967.007847222223</v>
      </c>
      <c r="V82">
        <v>45967.007847222223</v>
      </c>
      <c r="W82">
        <v>10</v>
      </c>
      <c r="X82">
        <v>10</v>
      </c>
      <c r="Y82" t="s">
        <v>94</v>
      </c>
      <c r="Z82" t="b">
        <v>0</v>
      </c>
      <c r="AA82" t="s">
        <v>466</v>
      </c>
    </row>
    <row r="83" spans="1:27">
      <c r="A83">
        <v>0</v>
      </c>
      <c r="B83">
        <v>82</v>
      </c>
      <c r="D83" t="s">
        <v>65</v>
      </c>
      <c r="E83" t="s">
        <v>66</v>
      </c>
      <c r="I83" t="s">
        <v>467</v>
      </c>
      <c r="J83" t="s">
        <v>468</v>
      </c>
      <c r="K83" t="s">
        <v>469</v>
      </c>
      <c r="L83" t="s">
        <v>338</v>
      </c>
      <c r="Q83">
        <v>84</v>
      </c>
      <c r="T83">
        <v>82</v>
      </c>
      <c r="U83">
        <v>45973.668703703705</v>
      </c>
      <c r="V83">
        <v>45967.007870370369</v>
      </c>
      <c r="W83">
        <v>10</v>
      </c>
      <c r="X83">
        <v>10</v>
      </c>
      <c r="Y83" t="s">
        <v>81</v>
      </c>
      <c r="Z83" t="b">
        <v>0</v>
      </c>
      <c r="AA83" t="s">
        <v>470</v>
      </c>
    </row>
    <row r="84" spans="1:27">
      <c r="A84">
        <v>0</v>
      </c>
      <c r="B84">
        <v>83</v>
      </c>
      <c r="D84" t="s">
        <v>65</v>
      </c>
      <c r="E84" t="s">
        <v>66</v>
      </c>
      <c r="I84" t="s">
        <v>471</v>
      </c>
      <c r="J84" t="s">
        <v>468</v>
      </c>
      <c r="K84" t="s">
        <v>472</v>
      </c>
      <c r="L84" t="s">
        <v>338</v>
      </c>
      <c r="Q84">
        <v>85</v>
      </c>
      <c r="T84">
        <v>83</v>
      </c>
      <c r="U84">
        <v>45967.007893518516</v>
      </c>
      <c r="V84">
        <v>45967.007893518516</v>
      </c>
      <c r="W84">
        <v>10</v>
      </c>
      <c r="X84">
        <v>10</v>
      </c>
      <c r="Y84" t="s">
        <v>94</v>
      </c>
      <c r="Z84" t="b">
        <v>0</v>
      </c>
      <c r="AA84" t="s">
        <v>473</v>
      </c>
    </row>
    <row r="85" spans="1:27">
      <c r="A85">
        <v>0</v>
      </c>
      <c r="B85">
        <v>84</v>
      </c>
      <c r="D85" t="s">
        <v>65</v>
      </c>
      <c r="E85" t="s">
        <v>66</v>
      </c>
      <c r="I85" t="s">
        <v>474</v>
      </c>
      <c r="J85" t="s">
        <v>468</v>
      </c>
      <c r="K85" t="s">
        <v>475</v>
      </c>
      <c r="L85" t="s">
        <v>338</v>
      </c>
      <c r="Q85">
        <v>86</v>
      </c>
      <c r="T85">
        <v>84</v>
      </c>
      <c r="U85">
        <v>45967.007928240739</v>
      </c>
      <c r="V85">
        <v>45967.007928240739</v>
      </c>
      <c r="W85">
        <v>10</v>
      </c>
      <c r="X85">
        <v>10</v>
      </c>
      <c r="Y85" t="s">
        <v>94</v>
      </c>
      <c r="Z85" t="b">
        <v>0</v>
      </c>
      <c r="AA85" t="s">
        <v>476</v>
      </c>
    </row>
    <row r="86" spans="1:27">
      <c r="A86">
        <v>0</v>
      </c>
      <c r="B86">
        <v>85</v>
      </c>
      <c r="D86" t="s">
        <v>65</v>
      </c>
      <c r="E86" t="s">
        <v>66</v>
      </c>
      <c r="I86" t="s">
        <v>477</v>
      </c>
      <c r="J86" t="s">
        <v>468</v>
      </c>
      <c r="K86" t="s">
        <v>478</v>
      </c>
      <c r="L86" t="s">
        <v>338</v>
      </c>
      <c r="Q86">
        <v>87</v>
      </c>
      <c r="T86">
        <v>85</v>
      </c>
      <c r="U86">
        <v>45967.007962962962</v>
      </c>
      <c r="V86">
        <v>45967.007962962962</v>
      </c>
      <c r="W86">
        <v>10</v>
      </c>
      <c r="X86">
        <v>10</v>
      </c>
      <c r="Y86" t="s">
        <v>94</v>
      </c>
      <c r="Z86" t="b">
        <v>0</v>
      </c>
      <c r="AA86" t="s">
        <v>479</v>
      </c>
    </row>
    <row r="87" spans="1:27">
      <c r="A87">
        <v>0</v>
      </c>
      <c r="B87">
        <v>86</v>
      </c>
      <c r="D87" t="s">
        <v>65</v>
      </c>
      <c r="E87" t="s">
        <v>66</v>
      </c>
      <c r="I87" t="s">
        <v>480</v>
      </c>
      <c r="J87" t="s">
        <v>481</v>
      </c>
      <c r="K87" t="s">
        <v>482</v>
      </c>
      <c r="L87" t="s">
        <v>483</v>
      </c>
      <c r="M87" t="s">
        <v>484</v>
      </c>
      <c r="N87">
        <v>46052.958333333336</v>
      </c>
      <c r="O87" t="s">
        <v>485</v>
      </c>
      <c r="P87" t="s">
        <v>486</v>
      </c>
      <c r="Q87">
        <v>98</v>
      </c>
      <c r="R87" t="s">
        <v>487</v>
      </c>
      <c r="S87">
        <v>46233.916666666664</v>
      </c>
      <c r="T87">
        <v>86</v>
      </c>
      <c r="U87">
        <v>45990.716770833336</v>
      </c>
      <c r="V87">
        <v>45967.007997685185</v>
      </c>
      <c r="W87">
        <v>10</v>
      </c>
      <c r="X87">
        <v>273</v>
      </c>
      <c r="Y87" t="s">
        <v>224</v>
      </c>
      <c r="Z87" t="b">
        <v>0</v>
      </c>
      <c r="AA87" t="s">
        <v>488</v>
      </c>
    </row>
    <row r="88" spans="1:27">
      <c r="A88">
        <v>0</v>
      </c>
      <c r="B88">
        <v>87</v>
      </c>
      <c r="D88" t="s">
        <v>65</v>
      </c>
      <c r="E88" t="s">
        <v>66</v>
      </c>
      <c r="I88" t="s">
        <v>489</v>
      </c>
      <c r="J88" t="s">
        <v>481</v>
      </c>
      <c r="K88" t="s">
        <v>490</v>
      </c>
      <c r="L88" t="s">
        <v>483</v>
      </c>
      <c r="Q88">
        <v>99</v>
      </c>
      <c r="T88">
        <v>87</v>
      </c>
      <c r="U88">
        <v>45967.008020833331</v>
      </c>
      <c r="V88">
        <v>45967.008020833331</v>
      </c>
      <c r="W88">
        <v>10</v>
      </c>
      <c r="X88">
        <v>10</v>
      </c>
      <c r="Y88" t="s">
        <v>94</v>
      </c>
      <c r="Z88" t="b">
        <v>0</v>
      </c>
      <c r="AA88" t="s">
        <v>491</v>
      </c>
    </row>
    <row r="89" spans="1:27">
      <c r="A89">
        <v>0</v>
      </c>
      <c r="B89">
        <v>88</v>
      </c>
      <c r="D89" t="s">
        <v>65</v>
      </c>
      <c r="E89" t="s">
        <v>66</v>
      </c>
      <c r="L89" t="s">
        <v>65</v>
      </c>
      <c r="T89">
        <v>88</v>
      </c>
      <c r="U89">
        <v>45989.72146990741</v>
      </c>
      <c r="V89">
        <v>45989.72146990741</v>
      </c>
      <c r="W89">
        <v>109</v>
      </c>
      <c r="X89">
        <v>109</v>
      </c>
      <c r="Y89" t="s">
        <v>94</v>
      </c>
      <c r="Z89" t="b">
        <v>0</v>
      </c>
      <c r="AA89" t="s">
        <v>492</v>
      </c>
    </row>
    <row r="90" spans="1:27">
      <c r="A90">
        <v>0</v>
      </c>
      <c r="B90">
        <v>89</v>
      </c>
      <c r="D90" t="s">
        <v>65</v>
      </c>
      <c r="E90" t="s">
        <v>66</v>
      </c>
      <c r="L90" t="s">
        <v>65</v>
      </c>
      <c r="T90">
        <v>89</v>
      </c>
      <c r="U90">
        <v>45989.723715277774</v>
      </c>
      <c r="V90">
        <v>45989.723715277774</v>
      </c>
      <c r="W90">
        <v>109</v>
      </c>
      <c r="X90">
        <v>109</v>
      </c>
      <c r="Y90" t="s">
        <v>94</v>
      </c>
      <c r="Z90" t="b">
        <v>0</v>
      </c>
      <c r="AA90" t="s">
        <v>493</v>
      </c>
    </row>
    <row r="91" spans="1:27">
      <c r="A91">
        <v>0</v>
      </c>
      <c r="B91">
        <v>90</v>
      </c>
      <c r="D91" t="s">
        <v>65</v>
      </c>
      <c r="E91" t="s">
        <v>66</v>
      </c>
      <c r="L91" t="s">
        <v>65</v>
      </c>
      <c r="T91">
        <v>90</v>
      </c>
      <c r="U91">
        <v>45989.728622685187</v>
      </c>
      <c r="V91">
        <v>45989.728622685187</v>
      </c>
      <c r="W91">
        <v>109</v>
      </c>
      <c r="X91">
        <v>109</v>
      </c>
      <c r="Y91" t="s">
        <v>94</v>
      </c>
      <c r="Z91" t="b">
        <v>0</v>
      </c>
      <c r="AA91" t="s">
        <v>494</v>
      </c>
    </row>
    <row r="92" spans="1:27">
      <c r="A92">
        <v>0</v>
      </c>
      <c r="B92">
        <v>91</v>
      </c>
      <c r="D92" t="s">
        <v>65</v>
      </c>
      <c r="E92" t="s">
        <v>66</v>
      </c>
      <c r="L92" t="s">
        <v>65</v>
      </c>
      <c r="T92">
        <v>91</v>
      </c>
      <c r="U92">
        <v>45990.077013888891</v>
      </c>
      <c r="V92">
        <v>45990.077013888891</v>
      </c>
      <c r="W92">
        <v>274</v>
      </c>
      <c r="X92">
        <v>274</v>
      </c>
      <c r="Y92" t="s">
        <v>94</v>
      </c>
      <c r="Z92" t="b">
        <v>0</v>
      </c>
      <c r="AA92" t="s">
        <v>495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7AD54-327E-46F4-8A82-ACD2850AB888}">
  <dimension ref="A1:N93"/>
  <sheetViews>
    <sheetView workbookViewId="0">
      <selection activeCell="B5" sqref="B5"/>
    </sheetView>
  </sheetViews>
  <sheetFormatPr baseColWidth="10" defaultColWidth="8.83203125" defaultRowHeight="15"/>
  <cols>
    <col min="1" max="1" width="9.5" bestFit="1" customWidth="1"/>
    <col min="2" max="2" width="47.5" bestFit="1" customWidth="1"/>
    <col min="3" max="3" width="11.5" bestFit="1" customWidth="1"/>
    <col min="4" max="4" width="80.5" bestFit="1" customWidth="1"/>
    <col min="5" max="5" width="31.5" bestFit="1" customWidth="1"/>
    <col min="6" max="9" width="80.5" bestFit="1" customWidth="1"/>
    <col min="10" max="10" width="21.5" bestFit="1" customWidth="1"/>
    <col min="11" max="11" width="80.5" bestFit="1" customWidth="1"/>
    <col min="12" max="12" width="24.83203125" bestFit="1" customWidth="1"/>
    <col min="13" max="13" width="18.83203125" bestFit="1" customWidth="1"/>
    <col min="14" max="16" width="80.5" bestFit="1" customWidth="1"/>
    <col min="17" max="17" width="15.5" bestFit="1" customWidth="1"/>
    <col min="18" max="18" width="80.5" bestFit="1" customWidth="1"/>
    <col min="19" max="19" width="24.83203125" bestFit="1" customWidth="1"/>
    <col min="20" max="20" width="15.83203125" bestFit="1" customWidth="1"/>
    <col min="21" max="21" width="36.5" bestFit="1" customWidth="1"/>
    <col min="22" max="22" width="80.5" bestFit="1" customWidth="1"/>
    <col min="23" max="23" width="18.83203125" bestFit="1" customWidth="1"/>
    <col min="24" max="24" width="80.5" bestFit="1" customWidth="1"/>
    <col min="25" max="25" width="21" bestFit="1" customWidth="1"/>
    <col min="26" max="26" width="18.83203125" bestFit="1" customWidth="1"/>
    <col min="27" max="28" width="80.5" bestFit="1" customWidth="1"/>
    <col min="29" max="29" width="12.6640625" bestFit="1" customWidth="1"/>
    <col min="30" max="30" width="20.83203125" bestFit="1" customWidth="1"/>
    <col min="31" max="31" width="12.6640625" bestFit="1" customWidth="1"/>
    <col min="32" max="32" width="20.83203125" bestFit="1" customWidth="1"/>
    <col min="33" max="33" width="12.6640625" bestFit="1" customWidth="1"/>
    <col min="34" max="34" width="20.83203125" bestFit="1" customWidth="1"/>
    <col min="35" max="35" width="12.6640625" bestFit="1" customWidth="1"/>
    <col min="36" max="36" width="20.83203125" bestFit="1" customWidth="1"/>
    <col min="37" max="37" width="27.83203125" bestFit="1" customWidth="1"/>
    <col min="38" max="38" width="43.1640625" bestFit="1" customWidth="1"/>
    <col min="39" max="39" width="9.5" bestFit="1" customWidth="1"/>
    <col min="40" max="40" width="11.5" bestFit="1" customWidth="1"/>
    <col min="41" max="41" width="12.6640625" bestFit="1" customWidth="1"/>
    <col min="42" max="42" width="11.5" bestFit="1" customWidth="1"/>
    <col min="43" max="43" width="12.5" bestFit="1" customWidth="1"/>
    <col min="44" max="44" width="12.6640625" bestFit="1" customWidth="1"/>
    <col min="45" max="45" width="6.1640625" bestFit="1" customWidth="1"/>
    <col min="46" max="47" width="11.83203125" bestFit="1" customWidth="1"/>
    <col min="48" max="48" width="10.5" bestFit="1" customWidth="1"/>
    <col min="49" max="49" width="10.33203125" bestFit="1" customWidth="1"/>
    <col min="50" max="50" width="24" bestFit="1" customWidth="1"/>
    <col min="51" max="51" width="14.1640625" bestFit="1" customWidth="1"/>
    <col min="52" max="52" width="36.5" bestFit="1" customWidth="1"/>
    <col min="53" max="53" width="35.6640625" bestFit="1" customWidth="1"/>
  </cols>
  <sheetData>
    <row r="1" spans="1:14">
      <c r="A1" t="s">
        <v>496</v>
      </c>
      <c r="B1" t="s">
        <v>47</v>
      </c>
      <c r="C1" t="s">
        <v>497</v>
      </c>
      <c r="D1" t="s">
        <v>48</v>
      </c>
      <c r="E1" t="s">
        <v>49</v>
      </c>
      <c r="F1" t="s">
        <v>52</v>
      </c>
      <c r="G1" t="s">
        <v>53</v>
      </c>
      <c r="H1" t="s">
        <v>498</v>
      </c>
      <c r="I1" t="s">
        <v>50</v>
      </c>
      <c r="J1" t="s">
        <v>51</v>
      </c>
      <c r="K1" t="s">
        <v>55</v>
      </c>
      <c r="L1" t="s">
        <v>56</v>
      </c>
      <c r="M1" t="s">
        <v>499</v>
      </c>
      <c r="N1" t="s">
        <v>500</v>
      </c>
    </row>
    <row r="2" spans="1:14">
      <c r="A2">
        <v>1</v>
      </c>
      <c r="B2" t="s">
        <v>68</v>
      </c>
      <c r="C2">
        <v>14</v>
      </c>
      <c r="D2" t="s">
        <v>501</v>
      </c>
      <c r="E2" t="s">
        <v>70</v>
      </c>
      <c r="F2" t="s">
        <v>502</v>
      </c>
      <c r="G2" t="s">
        <v>503</v>
      </c>
      <c r="H2" t="s">
        <v>504</v>
      </c>
      <c r="I2" t="s">
        <v>505</v>
      </c>
      <c r="J2" s="3">
        <v>46021</v>
      </c>
      <c r="K2" t="s">
        <v>506</v>
      </c>
      <c r="L2" s="3">
        <v>46111</v>
      </c>
      <c r="M2" t="s">
        <v>507</v>
      </c>
      <c r="N2" t="s">
        <v>508</v>
      </c>
    </row>
    <row r="3" spans="1:14">
      <c r="A3">
        <v>1</v>
      </c>
      <c r="B3" t="s">
        <v>68</v>
      </c>
      <c r="C3">
        <v>15</v>
      </c>
      <c r="D3" t="s">
        <v>509</v>
      </c>
      <c r="E3" t="s">
        <v>70</v>
      </c>
      <c r="F3" t="s">
        <v>510</v>
      </c>
      <c r="G3" t="s">
        <v>503</v>
      </c>
      <c r="H3" t="s">
        <v>504</v>
      </c>
      <c r="I3" t="s">
        <v>78</v>
      </c>
      <c r="J3" s="3">
        <v>46111</v>
      </c>
      <c r="K3" t="s">
        <v>511</v>
      </c>
      <c r="L3" s="3">
        <v>46111</v>
      </c>
      <c r="M3" t="s">
        <v>507</v>
      </c>
      <c r="N3" t="s">
        <v>512</v>
      </c>
    </row>
    <row r="4" spans="1:14">
      <c r="A4">
        <v>2</v>
      </c>
      <c r="B4" t="s">
        <v>84</v>
      </c>
      <c r="C4">
        <v>16</v>
      </c>
      <c r="D4" t="s">
        <v>85</v>
      </c>
      <c r="E4" t="s">
        <v>86</v>
      </c>
      <c r="F4" t="s">
        <v>513</v>
      </c>
      <c r="G4" t="s">
        <v>514</v>
      </c>
      <c r="H4" t="s">
        <v>515</v>
      </c>
      <c r="J4" s="3"/>
      <c r="L4" s="3"/>
      <c r="M4" t="s">
        <v>507</v>
      </c>
      <c r="N4" t="s">
        <v>516</v>
      </c>
    </row>
    <row r="5" spans="1:14">
      <c r="A5">
        <v>2</v>
      </c>
      <c r="B5" t="s">
        <v>84</v>
      </c>
      <c r="C5">
        <v>17</v>
      </c>
      <c r="D5" t="s">
        <v>90</v>
      </c>
      <c r="E5" t="s">
        <v>86</v>
      </c>
      <c r="F5" t="s">
        <v>517</v>
      </c>
      <c r="G5" t="s">
        <v>518</v>
      </c>
      <c r="H5" t="s">
        <v>519</v>
      </c>
      <c r="I5" t="s">
        <v>520</v>
      </c>
      <c r="J5" s="3">
        <v>46052</v>
      </c>
      <c r="K5" t="s">
        <v>521</v>
      </c>
      <c r="L5" s="3">
        <v>46386</v>
      </c>
      <c r="M5" t="s">
        <v>522</v>
      </c>
      <c r="N5" t="s">
        <v>523</v>
      </c>
    </row>
    <row r="6" spans="1:14">
      <c r="A6">
        <v>2</v>
      </c>
      <c r="B6" t="s">
        <v>84</v>
      </c>
      <c r="C6">
        <v>18</v>
      </c>
      <c r="D6" t="s">
        <v>93</v>
      </c>
      <c r="E6" t="s">
        <v>86</v>
      </c>
      <c r="F6" t="s">
        <v>524</v>
      </c>
      <c r="G6" t="s">
        <v>525</v>
      </c>
      <c r="H6" t="s">
        <v>526</v>
      </c>
      <c r="I6" t="s">
        <v>527</v>
      </c>
      <c r="J6" s="3">
        <v>46052</v>
      </c>
      <c r="K6" t="s">
        <v>528</v>
      </c>
      <c r="L6" s="3">
        <v>46386</v>
      </c>
      <c r="M6" t="s">
        <v>522</v>
      </c>
      <c r="N6" t="s">
        <v>523</v>
      </c>
    </row>
    <row r="7" spans="1:14">
      <c r="A7">
        <v>2</v>
      </c>
      <c r="B7" t="s">
        <v>84</v>
      </c>
      <c r="C7">
        <v>20</v>
      </c>
      <c r="D7" t="s">
        <v>97</v>
      </c>
      <c r="E7" t="s">
        <v>86</v>
      </c>
      <c r="F7" t="s">
        <v>529</v>
      </c>
      <c r="G7" t="s">
        <v>530</v>
      </c>
      <c r="H7" t="s">
        <v>531</v>
      </c>
      <c r="I7" t="s">
        <v>532</v>
      </c>
      <c r="J7" s="3">
        <v>46052</v>
      </c>
      <c r="K7" t="s">
        <v>533</v>
      </c>
      <c r="L7" s="3">
        <v>46386</v>
      </c>
      <c r="M7" t="s">
        <v>522</v>
      </c>
      <c r="N7" t="s">
        <v>523</v>
      </c>
    </row>
    <row r="8" spans="1:14">
      <c r="A8">
        <v>2</v>
      </c>
      <c r="B8" t="s">
        <v>84</v>
      </c>
      <c r="C8">
        <v>21</v>
      </c>
      <c r="D8" t="s">
        <v>100</v>
      </c>
      <c r="E8" t="s">
        <v>86</v>
      </c>
      <c r="F8" t="s">
        <v>534</v>
      </c>
      <c r="G8" t="s">
        <v>535</v>
      </c>
      <c r="H8" t="s">
        <v>531</v>
      </c>
      <c r="I8" t="s">
        <v>536</v>
      </c>
      <c r="J8" s="3">
        <v>46052</v>
      </c>
      <c r="K8" t="s">
        <v>537</v>
      </c>
      <c r="L8" s="3">
        <v>46386</v>
      </c>
      <c r="M8" t="s">
        <v>522</v>
      </c>
      <c r="N8" t="s">
        <v>523</v>
      </c>
    </row>
    <row r="9" spans="1:14">
      <c r="A9">
        <v>2</v>
      </c>
      <c r="B9" t="s">
        <v>84</v>
      </c>
      <c r="C9">
        <v>22</v>
      </c>
      <c r="D9" t="s">
        <v>103</v>
      </c>
      <c r="E9" t="s">
        <v>86</v>
      </c>
      <c r="F9" t="s">
        <v>538</v>
      </c>
      <c r="G9" t="s">
        <v>539</v>
      </c>
      <c r="H9" t="s">
        <v>540</v>
      </c>
      <c r="I9" t="s">
        <v>541</v>
      </c>
      <c r="J9" s="3">
        <v>46052</v>
      </c>
      <c r="K9" t="s">
        <v>542</v>
      </c>
      <c r="L9" s="3">
        <v>46386</v>
      </c>
      <c r="M9" t="s">
        <v>507</v>
      </c>
      <c r="N9" t="s">
        <v>543</v>
      </c>
    </row>
    <row r="10" spans="1:14">
      <c r="A10">
        <v>2</v>
      </c>
      <c r="B10" t="s">
        <v>84</v>
      </c>
      <c r="C10">
        <v>23</v>
      </c>
      <c r="D10" t="s">
        <v>106</v>
      </c>
      <c r="E10" t="s">
        <v>86</v>
      </c>
      <c r="F10" t="s">
        <v>544</v>
      </c>
      <c r="G10" t="s">
        <v>545</v>
      </c>
      <c r="H10" t="s">
        <v>546</v>
      </c>
      <c r="I10" t="s">
        <v>547</v>
      </c>
      <c r="J10" s="3">
        <v>46052</v>
      </c>
      <c r="K10" t="s">
        <v>548</v>
      </c>
      <c r="L10" s="3">
        <v>46386</v>
      </c>
      <c r="M10" t="s">
        <v>507</v>
      </c>
      <c r="N10" t="s">
        <v>549</v>
      </c>
    </row>
    <row r="11" spans="1:14">
      <c r="A11">
        <v>2</v>
      </c>
      <c r="B11" t="s">
        <v>84</v>
      </c>
      <c r="C11">
        <v>24</v>
      </c>
      <c r="D11" t="s">
        <v>109</v>
      </c>
      <c r="E11" t="s">
        <v>86</v>
      </c>
      <c r="F11" t="s">
        <v>550</v>
      </c>
      <c r="G11" t="s">
        <v>551</v>
      </c>
      <c r="H11" t="s">
        <v>552</v>
      </c>
      <c r="I11" t="s">
        <v>553</v>
      </c>
      <c r="J11" s="3">
        <v>46052</v>
      </c>
      <c r="K11" t="s">
        <v>554</v>
      </c>
      <c r="L11" s="3">
        <v>46386</v>
      </c>
      <c r="M11" t="s">
        <v>507</v>
      </c>
      <c r="N11" t="s">
        <v>543</v>
      </c>
    </row>
    <row r="12" spans="1:14">
      <c r="A12">
        <v>2</v>
      </c>
      <c r="B12" t="s">
        <v>84</v>
      </c>
      <c r="C12">
        <v>25</v>
      </c>
      <c r="D12" t="s">
        <v>112</v>
      </c>
      <c r="E12" t="s">
        <v>86</v>
      </c>
      <c r="F12" t="s">
        <v>555</v>
      </c>
      <c r="G12" t="s">
        <v>556</v>
      </c>
      <c r="H12" t="s">
        <v>557</v>
      </c>
      <c r="I12" t="s">
        <v>558</v>
      </c>
      <c r="J12" s="3">
        <v>46052</v>
      </c>
      <c r="K12" t="s">
        <v>559</v>
      </c>
      <c r="L12" s="3">
        <v>46386</v>
      </c>
      <c r="M12" t="s">
        <v>507</v>
      </c>
      <c r="N12" t="s">
        <v>543</v>
      </c>
    </row>
    <row r="13" spans="1:14">
      <c r="A13">
        <v>3</v>
      </c>
      <c r="B13" t="s">
        <v>115</v>
      </c>
      <c r="C13">
        <v>26</v>
      </c>
      <c r="D13" t="s">
        <v>116</v>
      </c>
      <c r="E13" t="s">
        <v>117</v>
      </c>
      <c r="F13" t="s">
        <v>560</v>
      </c>
      <c r="G13" t="s">
        <v>561</v>
      </c>
      <c r="H13" t="s">
        <v>562</v>
      </c>
      <c r="I13" t="s">
        <v>563</v>
      </c>
      <c r="J13" s="3">
        <v>46040</v>
      </c>
      <c r="K13" t="s">
        <v>121</v>
      </c>
      <c r="L13" s="3">
        <v>46264</v>
      </c>
      <c r="M13" t="s">
        <v>564</v>
      </c>
    </row>
    <row r="14" spans="1:14">
      <c r="A14">
        <v>4</v>
      </c>
      <c r="B14" t="s">
        <v>125</v>
      </c>
      <c r="C14">
        <v>27</v>
      </c>
      <c r="D14" t="s">
        <v>126</v>
      </c>
      <c r="E14" t="s">
        <v>127</v>
      </c>
      <c r="F14" t="s">
        <v>565</v>
      </c>
      <c r="G14" t="s">
        <v>566</v>
      </c>
      <c r="H14" t="s">
        <v>567</v>
      </c>
      <c r="I14" t="s">
        <v>568</v>
      </c>
      <c r="J14" s="3">
        <v>46052</v>
      </c>
      <c r="K14" t="s">
        <v>131</v>
      </c>
      <c r="L14" s="3">
        <v>46233</v>
      </c>
      <c r="M14" t="s">
        <v>564</v>
      </c>
    </row>
    <row r="15" spans="1:14">
      <c r="A15">
        <v>4</v>
      </c>
      <c r="B15" t="s">
        <v>125</v>
      </c>
      <c r="C15">
        <v>28</v>
      </c>
      <c r="D15" t="s">
        <v>135</v>
      </c>
      <c r="E15" t="s">
        <v>127</v>
      </c>
      <c r="F15" t="s">
        <v>565</v>
      </c>
      <c r="G15" t="s">
        <v>569</v>
      </c>
      <c r="H15" t="s">
        <v>567</v>
      </c>
      <c r="I15" t="s">
        <v>570</v>
      </c>
      <c r="J15" s="3">
        <v>46052</v>
      </c>
      <c r="K15" t="s">
        <v>571</v>
      </c>
      <c r="L15" s="3">
        <v>46233</v>
      </c>
      <c r="M15" t="s">
        <v>564</v>
      </c>
    </row>
    <row r="16" spans="1:14">
      <c r="A16">
        <v>5</v>
      </c>
      <c r="B16" t="s">
        <v>143</v>
      </c>
      <c r="C16">
        <v>39</v>
      </c>
      <c r="D16" t="s">
        <v>144</v>
      </c>
      <c r="E16" t="s">
        <v>145</v>
      </c>
      <c r="F16" t="s">
        <v>572</v>
      </c>
      <c r="G16" t="s">
        <v>573</v>
      </c>
      <c r="H16" t="s">
        <v>574</v>
      </c>
      <c r="I16" t="s">
        <v>575</v>
      </c>
      <c r="J16" s="3">
        <v>46029</v>
      </c>
      <c r="K16" t="s">
        <v>576</v>
      </c>
      <c r="L16" s="3">
        <v>46263</v>
      </c>
      <c r="M16" t="s">
        <v>564</v>
      </c>
    </row>
    <row r="17" spans="1:14">
      <c r="A17">
        <v>5</v>
      </c>
      <c r="B17" t="s">
        <v>143</v>
      </c>
      <c r="C17">
        <v>40</v>
      </c>
      <c r="D17" t="s">
        <v>152</v>
      </c>
      <c r="E17" t="s">
        <v>145</v>
      </c>
      <c r="F17" t="s">
        <v>577</v>
      </c>
      <c r="G17" t="s">
        <v>578</v>
      </c>
      <c r="H17" t="s">
        <v>579</v>
      </c>
      <c r="I17" t="s">
        <v>580</v>
      </c>
      <c r="J17" s="3">
        <v>46052</v>
      </c>
      <c r="K17" t="s">
        <v>581</v>
      </c>
      <c r="L17" s="3">
        <v>46263</v>
      </c>
      <c r="M17" t="s">
        <v>564</v>
      </c>
    </row>
    <row r="18" spans="1:14">
      <c r="A18">
        <v>6</v>
      </c>
      <c r="B18" t="s">
        <v>159</v>
      </c>
      <c r="C18">
        <v>36</v>
      </c>
      <c r="D18" t="s">
        <v>160</v>
      </c>
      <c r="E18" t="s">
        <v>145</v>
      </c>
      <c r="F18" t="s">
        <v>582</v>
      </c>
      <c r="G18" t="s">
        <v>578</v>
      </c>
      <c r="H18" t="s">
        <v>583</v>
      </c>
      <c r="I18" t="s">
        <v>584</v>
      </c>
      <c r="J18" s="3">
        <v>46029</v>
      </c>
      <c r="K18" t="s">
        <v>585</v>
      </c>
      <c r="L18" s="3">
        <v>46263</v>
      </c>
      <c r="M18" t="s">
        <v>564</v>
      </c>
    </row>
    <row r="19" spans="1:14">
      <c r="A19">
        <v>6</v>
      </c>
      <c r="B19" t="s">
        <v>159</v>
      </c>
      <c r="C19">
        <v>37</v>
      </c>
      <c r="D19" t="s">
        <v>166</v>
      </c>
      <c r="E19" t="s">
        <v>145</v>
      </c>
      <c r="F19" t="s">
        <v>586</v>
      </c>
      <c r="G19" t="s">
        <v>587</v>
      </c>
      <c r="H19" t="s">
        <v>588</v>
      </c>
      <c r="I19" t="s">
        <v>589</v>
      </c>
      <c r="J19" s="3">
        <v>46052</v>
      </c>
      <c r="K19" t="s">
        <v>590</v>
      </c>
      <c r="L19" s="3">
        <v>46170</v>
      </c>
      <c r="M19" t="s">
        <v>564</v>
      </c>
    </row>
    <row r="20" spans="1:14">
      <c r="A20">
        <v>7</v>
      </c>
      <c r="B20" t="s">
        <v>173</v>
      </c>
      <c r="C20">
        <v>33</v>
      </c>
      <c r="D20" t="s">
        <v>174</v>
      </c>
      <c r="E20" t="s">
        <v>175</v>
      </c>
      <c r="F20" t="s">
        <v>591</v>
      </c>
      <c r="G20" t="s">
        <v>592</v>
      </c>
      <c r="H20" t="s">
        <v>593</v>
      </c>
      <c r="I20" t="s">
        <v>594</v>
      </c>
      <c r="J20" s="3">
        <v>46052</v>
      </c>
      <c r="K20" t="s">
        <v>595</v>
      </c>
      <c r="L20" s="3">
        <v>46386</v>
      </c>
      <c r="M20" t="s">
        <v>522</v>
      </c>
      <c r="N20" t="s">
        <v>596</v>
      </c>
    </row>
    <row r="21" spans="1:14">
      <c r="A21">
        <v>8</v>
      </c>
      <c r="B21" t="s">
        <v>182</v>
      </c>
      <c r="C21">
        <v>34</v>
      </c>
      <c r="D21" t="s">
        <v>183</v>
      </c>
      <c r="E21" t="s">
        <v>184</v>
      </c>
      <c r="F21" t="s">
        <v>597</v>
      </c>
      <c r="G21" t="s">
        <v>598</v>
      </c>
      <c r="H21" t="s">
        <v>599</v>
      </c>
      <c r="I21" t="s">
        <v>600</v>
      </c>
      <c r="J21" s="3">
        <v>46080</v>
      </c>
      <c r="K21" t="s">
        <v>601</v>
      </c>
      <c r="L21" s="3">
        <v>46375</v>
      </c>
      <c r="M21" t="s">
        <v>522</v>
      </c>
      <c r="N21" t="s">
        <v>596</v>
      </c>
    </row>
    <row r="22" spans="1:14">
      <c r="A22">
        <v>8</v>
      </c>
      <c r="B22" t="s">
        <v>182</v>
      </c>
      <c r="C22">
        <v>54</v>
      </c>
      <c r="D22" t="s">
        <v>192</v>
      </c>
      <c r="E22" t="s">
        <v>184</v>
      </c>
      <c r="F22" t="s">
        <v>602</v>
      </c>
      <c r="G22" t="s">
        <v>603</v>
      </c>
      <c r="H22" t="s">
        <v>599</v>
      </c>
      <c r="I22" t="s">
        <v>600</v>
      </c>
      <c r="J22" s="3">
        <v>46080</v>
      </c>
      <c r="K22" t="s">
        <v>601</v>
      </c>
      <c r="L22" s="3">
        <v>46375</v>
      </c>
      <c r="M22" t="s">
        <v>522</v>
      </c>
      <c r="N22" t="s">
        <v>596</v>
      </c>
    </row>
    <row r="23" spans="1:14">
      <c r="A23">
        <v>9</v>
      </c>
      <c r="B23" t="s">
        <v>197</v>
      </c>
      <c r="C23">
        <v>42</v>
      </c>
      <c r="D23" t="s">
        <v>198</v>
      </c>
      <c r="E23" t="s">
        <v>199</v>
      </c>
      <c r="F23" t="s">
        <v>604</v>
      </c>
      <c r="G23" t="s">
        <v>605</v>
      </c>
      <c r="H23" t="s">
        <v>65</v>
      </c>
      <c r="I23" t="s">
        <v>606</v>
      </c>
      <c r="J23" s="3">
        <v>46052</v>
      </c>
      <c r="K23" t="s">
        <v>607</v>
      </c>
      <c r="L23" s="3">
        <v>46111</v>
      </c>
      <c r="M23" t="s">
        <v>564</v>
      </c>
    </row>
    <row r="24" spans="1:14">
      <c r="A24">
        <v>10</v>
      </c>
      <c r="B24" t="s">
        <v>202</v>
      </c>
      <c r="C24">
        <v>43</v>
      </c>
      <c r="D24" t="s">
        <v>203</v>
      </c>
      <c r="E24" t="s">
        <v>35</v>
      </c>
      <c r="F24" t="s">
        <v>608</v>
      </c>
      <c r="G24" t="s">
        <v>609</v>
      </c>
      <c r="H24" t="s">
        <v>610</v>
      </c>
      <c r="I24" t="s">
        <v>611</v>
      </c>
      <c r="J24" s="3">
        <v>46021</v>
      </c>
      <c r="K24" t="s">
        <v>612</v>
      </c>
      <c r="L24" s="3">
        <v>46080</v>
      </c>
      <c r="M24" t="s">
        <v>564</v>
      </c>
    </row>
    <row r="25" spans="1:14">
      <c r="A25">
        <v>10</v>
      </c>
      <c r="B25" t="s">
        <v>202</v>
      </c>
      <c r="C25">
        <v>44</v>
      </c>
      <c r="D25" t="s">
        <v>206</v>
      </c>
      <c r="E25" t="s">
        <v>35</v>
      </c>
      <c r="F25" t="s">
        <v>613</v>
      </c>
      <c r="G25" t="s">
        <v>609</v>
      </c>
      <c r="H25" t="s">
        <v>610</v>
      </c>
      <c r="I25" t="s">
        <v>614</v>
      </c>
      <c r="J25" s="3">
        <v>46052</v>
      </c>
      <c r="K25" t="s">
        <v>612</v>
      </c>
      <c r="L25" s="3">
        <v>46080</v>
      </c>
      <c r="M25" t="s">
        <v>564</v>
      </c>
    </row>
    <row r="26" spans="1:14">
      <c r="A26">
        <v>10</v>
      </c>
      <c r="B26" t="s">
        <v>202</v>
      </c>
      <c r="C26">
        <v>46</v>
      </c>
      <c r="D26" t="s">
        <v>209</v>
      </c>
      <c r="E26" t="s">
        <v>35</v>
      </c>
      <c r="F26" t="s">
        <v>613</v>
      </c>
      <c r="G26" t="s">
        <v>609</v>
      </c>
      <c r="H26" t="s">
        <v>610</v>
      </c>
      <c r="I26" t="s">
        <v>611</v>
      </c>
      <c r="J26" s="3">
        <v>46021</v>
      </c>
      <c r="K26" t="s">
        <v>615</v>
      </c>
      <c r="L26" s="3">
        <v>46111</v>
      </c>
      <c r="M26" t="s">
        <v>564</v>
      </c>
    </row>
    <row r="27" spans="1:14">
      <c r="A27">
        <v>10</v>
      </c>
      <c r="B27" t="s">
        <v>202</v>
      </c>
      <c r="C27">
        <v>47</v>
      </c>
      <c r="D27" t="s">
        <v>212</v>
      </c>
      <c r="E27" t="s">
        <v>35</v>
      </c>
      <c r="F27" t="s">
        <v>613</v>
      </c>
      <c r="G27" t="s">
        <v>609</v>
      </c>
      <c r="H27" t="s">
        <v>610</v>
      </c>
      <c r="I27" t="s">
        <v>611</v>
      </c>
      <c r="J27" s="3">
        <v>46021</v>
      </c>
      <c r="K27" t="s">
        <v>616</v>
      </c>
      <c r="L27" s="3">
        <v>46111</v>
      </c>
      <c r="M27" t="s">
        <v>564</v>
      </c>
    </row>
    <row r="28" spans="1:14">
      <c r="A28">
        <v>11</v>
      </c>
      <c r="B28" t="s">
        <v>215</v>
      </c>
      <c r="C28">
        <v>45</v>
      </c>
      <c r="D28" t="s">
        <v>216</v>
      </c>
      <c r="E28" t="s">
        <v>35</v>
      </c>
      <c r="F28" t="s">
        <v>608</v>
      </c>
      <c r="G28" t="s">
        <v>609</v>
      </c>
      <c r="H28" t="s">
        <v>610</v>
      </c>
      <c r="I28" t="s">
        <v>617</v>
      </c>
      <c r="J28" s="3">
        <v>45995</v>
      </c>
      <c r="K28" t="s">
        <v>618</v>
      </c>
      <c r="L28" s="3">
        <v>46080</v>
      </c>
      <c r="M28" t="s">
        <v>564</v>
      </c>
    </row>
    <row r="29" spans="1:14">
      <c r="A29">
        <v>12</v>
      </c>
      <c r="B29" t="s">
        <v>219</v>
      </c>
      <c r="C29">
        <v>48</v>
      </c>
      <c r="D29" t="s">
        <v>220</v>
      </c>
      <c r="E29" t="s">
        <v>221</v>
      </c>
      <c r="F29" t="s">
        <v>619</v>
      </c>
      <c r="G29" t="s">
        <v>578</v>
      </c>
      <c r="H29" t="s">
        <v>588</v>
      </c>
      <c r="I29" t="s">
        <v>620</v>
      </c>
      <c r="J29" s="3">
        <v>46029</v>
      </c>
      <c r="K29" t="s">
        <v>621</v>
      </c>
      <c r="L29" s="3">
        <v>46263</v>
      </c>
      <c r="M29" t="s">
        <v>564</v>
      </c>
    </row>
    <row r="30" spans="1:14">
      <c r="A30">
        <v>12</v>
      </c>
      <c r="B30" t="s">
        <v>219</v>
      </c>
      <c r="C30">
        <v>50</v>
      </c>
      <c r="D30" t="s">
        <v>227</v>
      </c>
      <c r="E30" t="s">
        <v>221</v>
      </c>
      <c r="F30" t="s">
        <v>619</v>
      </c>
      <c r="G30" t="s">
        <v>578</v>
      </c>
      <c r="H30" t="s">
        <v>588</v>
      </c>
      <c r="I30" t="s">
        <v>620</v>
      </c>
      <c r="J30" s="3">
        <v>46029</v>
      </c>
      <c r="K30" t="s">
        <v>621</v>
      </c>
      <c r="L30" s="3">
        <v>46263</v>
      </c>
      <c r="M30" t="s">
        <v>564</v>
      </c>
    </row>
    <row r="31" spans="1:14">
      <c r="A31">
        <v>13</v>
      </c>
      <c r="B31" t="s">
        <v>231</v>
      </c>
      <c r="C31">
        <v>19</v>
      </c>
      <c r="D31" t="s">
        <v>232</v>
      </c>
      <c r="E31" t="s">
        <v>233</v>
      </c>
      <c r="F31" t="s">
        <v>622</v>
      </c>
      <c r="G31" t="s">
        <v>623</v>
      </c>
      <c r="H31" t="s">
        <v>624</v>
      </c>
      <c r="I31" t="s">
        <v>625</v>
      </c>
      <c r="J31" s="3">
        <v>46052</v>
      </c>
      <c r="K31" t="s">
        <v>626</v>
      </c>
      <c r="L31" s="3">
        <v>46233</v>
      </c>
      <c r="M31" t="s">
        <v>564</v>
      </c>
    </row>
    <row r="32" spans="1:14">
      <c r="A32">
        <v>13</v>
      </c>
      <c r="B32" t="s">
        <v>231</v>
      </c>
      <c r="C32">
        <v>57</v>
      </c>
      <c r="D32" t="s">
        <v>240</v>
      </c>
      <c r="E32" t="s">
        <v>233</v>
      </c>
      <c r="F32" t="s">
        <v>622</v>
      </c>
      <c r="G32" t="s">
        <v>623</v>
      </c>
      <c r="H32" t="s">
        <v>624</v>
      </c>
      <c r="I32" t="s">
        <v>627</v>
      </c>
      <c r="J32" s="3">
        <v>46052</v>
      </c>
      <c r="K32" t="s">
        <v>628</v>
      </c>
      <c r="L32" s="3">
        <v>46233</v>
      </c>
      <c r="M32" t="s">
        <v>507</v>
      </c>
      <c r="N32" t="s">
        <v>629</v>
      </c>
    </row>
    <row r="33" spans="1:14">
      <c r="A33">
        <v>14</v>
      </c>
      <c r="B33" t="s">
        <v>245</v>
      </c>
      <c r="C33">
        <v>63</v>
      </c>
      <c r="D33" t="s">
        <v>246</v>
      </c>
      <c r="E33" t="s">
        <v>247</v>
      </c>
      <c r="F33" t="s">
        <v>630</v>
      </c>
      <c r="G33" t="s">
        <v>631</v>
      </c>
      <c r="H33" t="s">
        <v>65</v>
      </c>
      <c r="I33" t="s">
        <v>632</v>
      </c>
      <c r="J33" s="3">
        <v>46052</v>
      </c>
      <c r="K33" t="s">
        <v>633</v>
      </c>
      <c r="L33" s="3">
        <v>46340</v>
      </c>
      <c r="M33" t="s">
        <v>522</v>
      </c>
      <c r="N33" t="s">
        <v>634</v>
      </c>
    </row>
    <row r="34" spans="1:14">
      <c r="A34">
        <v>14</v>
      </c>
      <c r="B34" t="s">
        <v>245</v>
      </c>
      <c r="C34">
        <v>65</v>
      </c>
      <c r="D34" t="s">
        <v>254</v>
      </c>
      <c r="E34" t="s">
        <v>247</v>
      </c>
      <c r="G34" t="s">
        <v>635</v>
      </c>
      <c r="H34" t="s">
        <v>65</v>
      </c>
      <c r="I34" t="s">
        <v>636</v>
      </c>
      <c r="J34" s="3">
        <v>46053</v>
      </c>
      <c r="K34" t="s">
        <v>637</v>
      </c>
      <c r="L34" s="3">
        <v>46294</v>
      </c>
      <c r="M34" t="s">
        <v>564</v>
      </c>
    </row>
    <row r="35" spans="1:14">
      <c r="A35">
        <v>14</v>
      </c>
      <c r="B35" t="s">
        <v>245</v>
      </c>
      <c r="C35">
        <v>66</v>
      </c>
      <c r="D35" t="s">
        <v>257</v>
      </c>
      <c r="E35" t="s">
        <v>247</v>
      </c>
      <c r="G35" t="s">
        <v>638</v>
      </c>
      <c r="H35" t="s">
        <v>65</v>
      </c>
      <c r="I35" t="s">
        <v>639</v>
      </c>
      <c r="J35" s="3">
        <v>46053</v>
      </c>
      <c r="K35" t="s">
        <v>640</v>
      </c>
      <c r="L35" s="3">
        <v>46340</v>
      </c>
      <c r="M35" t="s">
        <v>522</v>
      </c>
      <c r="N35" t="s">
        <v>634</v>
      </c>
    </row>
    <row r="36" spans="1:14">
      <c r="A36">
        <v>14</v>
      </c>
      <c r="B36" t="s">
        <v>245</v>
      </c>
      <c r="C36">
        <v>67</v>
      </c>
      <c r="D36" t="s">
        <v>260</v>
      </c>
      <c r="E36" t="s">
        <v>247</v>
      </c>
      <c r="G36" t="s">
        <v>638</v>
      </c>
      <c r="H36" t="s">
        <v>65</v>
      </c>
      <c r="I36" t="s">
        <v>641</v>
      </c>
      <c r="J36" s="3">
        <v>46053</v>
      </c>
      <c r="K36" t="s">
        <v>642</v>
      </c>
      <c r="L36" s="3">
        <v>46340</v>
      </c>
      <c r="M36" t="s">
        <v>522</v>
      </c>
      <c r="N36" t="s">
        <v>634</v>
      </c>
    </row>
    <row r="37" spans="1:14">
      <c r="A37">
        <v>15</v>
      </c>
      <c r="B37" t="s">
        <v>263</v>
      </c>
      <c r="C37">
        <v>61</v>
      </c>
      <c r="D37" t="s">
        <v>264</v>
      </c>
      <c r="E37" t="s">
        <v>643</v>
      </c>
      <c r="F37" t="s">
        <v>644</v>
      </c>
      <c r="G37" t="s">
        <v>645</v>
      </c>
      <c r="H37" t="s">
        <v>610</v>
      </c>
      <c r="I37" t="s">
        <v>646</v>
      </c>
      <c r="J37" s="3">
        <v>46068</v>
      </c>
      <c r="K37" t="s">
        <v>647</v>
      </c>
      <c r="L37" s="3">
        <v>46156</v>
      </c>
      <c r="M37" t="s">
        <v>564</v>
      </c>
    </row>
    <row r="38" spans="1:14">
      <c r="A38">
        <v>15</v>
      </c>
      <c r="B38" t="s">
        <v>263</v>
      </c>
      <c r="C38">
        <v>62</v>
      </c>
      <c r="D38" t="s">
        <v>268</v>
      </c>
      <c r="E38" t="s">
        <v>265</v>
      </c>
      <c r="F38" t="s">
        <v>644</v>
      </c>
      <c r="G38" t="s">
        <v>645</v>
      </c>
      <c r="H38" t="s">
        <v>610</v>
      </c>
      <c r="I38" t="s">
        <v>648</v>
      </c>
      <c r="J38" s="3">
        <v>46061</v>
      </c>
      <c r="K38" t="s">
        <v>649</v>
      </c>
      <c r="L38" s="3">
        <v>46325</v>
      </c>
      <c r="M38" t="s">
        <v>564</v>
      </c>
    </row>
    <row r="39" spans="1:14">
      <c r="A39">
        <v>16</v>
      </c>
      <c r="B39" t="s">
        <v>271</v>
      </c>
      <c r="C39">
        <v>73</v>
      </c>
      <c r="D39" t="s">
        <v>272</v>
      </c>
      <c r="E39" t="s">
        <v>273</v>
      </c>
      <c r="H39" t="s">
        <v>610</v>
      </c>
      <c r="J39" s="3"/>
      <c r="L39" s="3"/>
      <c r="M39" t="s">
        <v>650</v>
      </c>
    </row>
    <row r="40" spans="1:14">
      <c r="A40">
        <v>16</v>
      </c>
      <c r="B40" t="s">
        <v>271</v>
      </c>
      <c r="C40">
        <v>74</v>
      </c>
      <c r="D40" t="s">
        <v>276</v>
      </c>
      <c r="E40" t="s">
        <v>273</v>
      </c>
      <c r="H40" t="s">
        <v>610</v>
      </c>
      <c r="J40" s="3"/>
      <c r="L40" s="3"/>
      <c r="M40" t="s">
        <v>650</v>
      </c>
    </row>
    <row r="41" spans="1:14">
      <c r="A41">
        <v>16</v>
      </c>
      <c r="B41" t="s">
        <v>271</v>
      </c>
      <c r="C41">
        <v>75</v>
      </c>
      <c r="D41" t="s">
        <v>279</v>
      </c>
      <c r="E41" t="s">
        <v>273</v>
      </c>
      <c r="H41" t="s">
        <v>610</v>
      </c>
      <c r="J41" s="3"/>
      <c r="L41" s="3"/>
      <c r="M41" t="s">
        <v>650</v>
      </c>
    </row>
    <row r="42" spans="1:14">
      <c r="A42">
        <v>17</v>
      </c>
      <c r="B42" t="s">
        <v>282</v>
      </c>
      <c r="C42">
        <v>68</v>
      </c>
      <c r="D42" t="s">
        <v>283</v>
      </c>
      <c r="E42" t="s">
        <v>284</v>
      </c>
      <c r="F42" t="s">
        <v>286</v>
      </c>
      <c r="G42" t="s">
        <v>651</v>
      </c>
      <c r="H42" t="s">
        <v>65</v>
      </c>
      <c r="I42" t="s">
        <v>652</v>
      </c>
      <c r="J42" s="3">
        <v>46052</v>
      </c>
      <c r="K42" t="s">
        <v>288</v>
      </c>
      <c r="L42" s="3">
        <v>46356</v>
      </c>
      <c r="M42" t="s">
        <v>522</v>
      </c>
      <c r="N42" t="s">
        <v>653</v>
      </c>
    </row>
    <row r="43" spans="1:14">
      <c r="A43">
        <v>17</v>
      </c>
      <c r="B43" t="s">
        <v>282</v>
      </c>
      <c r="C43">
        <v>69</v>
      </c>
      <c r="D43" t="s">
        <v>291</v>
      </c>
      <c r="E43" t="s">
        <v>284</v>
      </c>
      <c r="F43" t="s">
        <v>654</v>
      </c>
      <c r="G43" t="s">
        <v>655</v>
      </c>
      <c r="H43" t="s">
        <v>65</v>
      </c>
      <c r="I43" t="s">
        <v>656</v>
      </c>
      <c r="J43" s="3">
        <v>45995</v>
      </c>
      <c r="K43" t="s">
        <v>657</v>
      </c>
      <c r="L43" s="3">
        <v>46386</v>
      </c>
      <c r="M43" t="s">
        <v>522</v>
      </c>
      <c r="N43" t="s">
        <v>634</v>
      </c>
    </row>
    <row r="44" spans="1:14">
      <c r="A44">
        <v>17</v>
      </c>
      <c r="B44" t="s">
        <v>282</v>
      </c>
      <c r="C44">
        <v>72</v>
      </c>
      <c r="D44" t="s">
        <v>294</v>
      </c>
      <c r="E44" t="s">
        <v>284</v>
      </c>
      <c r="F44" t="s">
        <v>296</v>
      </c>
      <c r="G44" t="s">
        <v>297</v>
      </c>
      <c r="H44" t="s">
        <v>65</v>
      </c>
      <c r="I44" t="s">
        <v>658</v>
      </c>
      <c r="J44" s="3">
        <v>46052</v>
      </c>
      <c r="K44" t="s">
        <v>659</v>
      </c>
      <c r="L44" s="3">
        <v>46356</v>
      </c>
      <c r="M44" t="s">
        <v>507</v>
      </c>
      <c r="N44" t="s">
        <v>660</v>
      </c>
    </row>
    <row r="45" spans="1:14">
      <c r="A45">
        <v>18</v>
      </c>
      <c r="B45" t="s">
        <v>301</v>
      </c>
      <c r="C45">
        <v>76</v>
      </c>
      <c r="D45" t="s">
        <v>302</v>
      </c>
      <c r="E45" t="s">
        <v>303</v>
      </c>
      <c r="F45" t="s">
        <v>305</v>
      </c>
      <c r="G45" t="s">
        <v>306</v>
      </c>
      <c r="H45" t="s">
        <v>65</v>
      </c>
      <c r="I45" t="s">
        <v>661</v>
      </c>
      <c r="J45" s="3">
        <v>46051</v>
      </c>
      <c r="K45" t="s">
        <v>307</v>
      </c>
      <c r="L45" s="3">
        <v>46202</v>
      </c>
      <c r="M45" t="s">
        <v>564</v>
      </c>
    </row>
    <row r="46" spans="1:14">
      <c r="A46">
        <v>18</v>
      </c>
      <c r="B46" t="s">
        <v>301</v>
      </c>
      <c r="C46">
        <v>77</v>
      </c>
      <c r="D46" t="s">
        <v>310</v>
      </c>
      <c r="E46" t="s">
        <v>303</v>
      </c>
      <c r="F46" t="s">
        <v>305</v>
      </c>
      <c r="G46" t="s">
        <v>306</v>
      </c>
      <c r="H46" t="s">
        <v>65</v>
      </c>
      <c r="I46" t="s">
        <v>661</v>
      </c>
      <c r="J46" s="3">
        <v>46051</v>
      </c>
      <c r="K46" t="s">
        <v>311</v>
      </c>
      <c r="L46" s="3">
        <v>46370</v>
      </c>
      <c r="M46" t="s">
        <v>522</v>
      </c>
      <c r="N46" t="s">
        <v>634</v>
      </c>
    </row>
    <row r="47" spans="1:14">
      <c r="A47">
        <v>18</v>
      </c>
      <c r="B47" t="s">
        <v>301</v>
      </c>
      <c r="C47">
        <v>78</v>
      </c>
      <c r="D47" t="s">
        <v>314</v>
      </c>
      <c r="E47" t="s">
        <v>303</v>
      </c>
      <c r="F47" t="s">
        <v>305</v>
      </c>
      <c r="G47" t="s">
        <v>316</v>
      </c>
      <c r="H47" t="s">
        <v>65</v>
      </c>
      <c r="I47" t="s">
        <v>662</v>
      </c>
      <c r="J47" s="3">
        <v>46051</v>
      </c>
      <c r="K47" t="s">
        <v>317</v>
      </c>
      <c r="L47" s="3">
        <v>46202</v>
      </c>
      <c r="M47" t="s">
        <v>564</v>
      </c>
    </row>
    <row r="48" spans="1:14">
      <c r="A48">
        <v>18</v>
      </c>
      <c r="B48" t="s">
        <v>301</v>
      </c>
      <c r="C48">
        <v>91</v>
      </c>
      <c r="D48" t="s">
        <v>320</v>
      </c>
      <c r="E48" t="s">
        <v>303</v>
      </c>
      <c r="F48" t="s">
        <v>305</v>
      </c>
      <c r="G48" t="s">
        <v>316</v>
      </c>
      <c r="H48" t="s">
        <v>65</v>
      </c>
      <c r="I48" t="s">
        <v>663</v>
      </c>
      <c r="J48" s="3">
        <v>46051</v>
      </c>
      <c r="K48" t="s">
        <v>322</v>
      </c>
      <c r="L48" s="3">
        <v>46111</v>
      </c>
      <c r="M48" t="s">
        <v>564</v>
      </c>
    </row>
    <row r="49" spans="1:14">
      <c r="A49">
        <v>19</v>
      </c>
      <c r="B49" t="s">
        <v>325</v>
      </c>
      <c r="C49">
        <v>80</v>
      </c>
      <c r="D49" t="s">
        <v>326</v>
      </c>
      <c r="E49" t="s">
        <v>327</v>
      </c>
      <c r="F49" t="s">
        <v>664</v>
      </c>
      <c r="G49" t="s">
        <v>665</v>
      </c>
      <c r="H49" t="s">
        <v>610</v>
      </c>
      <c r="I49" t="s">
        <v>666</v>
      </c>
      <c r="J49" s="3">
        <v>46052</v>
      </c>
      <c r="K49" t="s">
        <v>667</v>
      </c>
      <c r="L49" s="3">
        <v>46080</v>
      </c>
      <c r="M49" t="s">
        <v>564</v>
      </c>
    </row>
    <row r="50" spans="1:14">
      <c r="A50">
        <v>19</v>
      </c>
      <c r="B50" t="s">
        <v>325</v>
      </c>
      <c r="C50">
        <v>81</v>
      </c>
      <c r="D50" t="s">
        <v>668</v>
      </c>
      <c r="E50" t="s">
        <v>327</v>
      </c>
      <c r="F50" t="s">
        <v>664</v>
      </c>
      <c r="G50" t="s">
        <v>669</v>
      </c>
      <c r="H50" t="s">
        <v>610</v>
      </c>
      <c r="I50" t="s">
        <v>670</v>
      </c>
      <c r="J50" s="3">
        <v>46052</v>
      </c>
      <c r="K50" t="s">
        <v>671</v>
      </c>
      <c r="L50" s="3">
        <v>46264</v>
      </c>
      <c r="M50" t="s">
        <v>564</v>
      </c>
    </row>
    <row r="51" spans="1:14">
      <c r="A51">
        <v>19</v>
      </c>
      <c r="B51" t="s">
        <v>325</v>
      </c>
      <c r="C51">
        <v>83</v>
      </c>
      <c r="D51" t="s">
        <v>333</v>
      </c>
      <c r="E51" t="s">
        <v>327</v>
      </c>
      <c r="F51" t="s">
        <v>664</v>
      </c>
      <c r="G51" t="s">
        <v>672</v>
      </c>
      <c r="H51" t="s">
        <v>610</v>
      </c>
      <c r="I51" t="s">
        <v>673</v>
      </c>
      <c r="J51" s="3">
        <v>46052</v>
      </c>
      <c r="K51" t="s">
        <v>674</v>
      </c>
      <c r="L51" s="3">
        <v>46080</v>
      </c>
      <c r="M51" t="s">
        <v>564</v>
      </c>
    </row>
    <row r="52" spans="1:14">
      <c r="A52">
        <v>20</v>
      </c>
      <c r="B52" t="s">
        <v>336</v>
      </c>
      <c r="C52">
        <v>88</v>
      </c>
      <c r="D52" t="s">
        <v>337</v>
      </c>
      <c r="E52" t="s">
        <v>338</v>
      </c>
      <c r="H52" t="s">
        <v>65</v>
      </c>
      <c r="J52" s="3"/>
      <c r="L52" s="3"/>
      <c r="M52" t="s">
        <v>650</v>
      </c>
    </row>
    <row r="53" spans="1:14">
      <c r="A53">
        <v>20</v>
      </c>
      <c r="B53" t="s">
        <v>336</v>
      </c>
      <c r="C53">
        <v>89</v>
      </c>
      <c r="D53" t="s">
        <v>341</v>
      </c>
      <c r="E53" t="s">
        <v>338</v>
      </c>
      <c r="H53" t="s">
        <v>65</v>
      </c>
      <c r="J53" s="3"/>
      <c r="L53" s="3"/>
      <c r="M53" t="s">
        <v>650</v>
      </c>
    </row>
    <row r="54" spans="1:14">
      <c r="A54">
        <v>20</v>
      </c>
      <c r="B54" t="s">
        <v>336</v>
      </c>
      <c r="C54">
        <v>92</v>
      </c>
      <c r="D54" t="s">
        <v>344</v>
      </c>
      <c r="E54" t="s">
        <v>338</v>
      </c>
      <c r="H54" t="s">
        <v>65</v>
      </c>
      <c r="J54" s="3"/>
      <c r="L54" s="3"/>
      <c r="M54" t="s">
        <v>650</v>
      </c>
    </row>
    <row r="55" spans="1:14">
      <c r="A55">
        <v>21</v>
      </c>
      <c r="B55" t="s">
        <v>347</v>
      </c>
      <c r="C55">
        <v>93</v>
      </c>
      <c r="D55" t="s">
        <v>348</v>
      </c>
      <c r="E55" t="s">
        <v>349</v>
      </c>
      <c r="F55" t="s">
        <v>351</v>
      </c>
      <c r="G55" t="s">
        <v>352</v>
      </c>
      <c r="H55" t="s">
        <v>65</v>
      </c>
      <c r="I55" t="s">
        <v>675</v>
      </c>
      <c r="J55" s="3">
        <v>46052</v>
      </c>
      <c r="K55" t="s">
        <v>676</v>
      </c>
      <c r="L55" s="3">
        <v>46172</v>
      </c>
      <c r="M55" t="s">
        <v>564</v>
      </c>
    </row>
    <row r="56" spans="1:14">
      <c r="A56">
        <v>22</v>
      </c>
      <c r="B56" t="s">
        <v>356</v>
      </c>
      <c r="C56">
        <v>1</v>
      </c>
      <c r="D56" t="s">
        <v>357</v>
      </c>
      <c r="E56" t="s">
        <v>70</v>
      </c>
      <c r="F56" t="s">
        <v>677</v>
      </c>
      <c r="G56" t="s">
        <v>678</v>
      </c>
      <c r="H56" t="s">
        <v>65</v>
      </c>
      <c r="I56" t="s">
        <v>679</v>
      </c>
      <c r="J56" s="3">
        <v>46022</v>
      </c>
      <c r="K56" t="s">
        <v>679</v>
      </c>
      <c r="L56" s="3">
        <v>46022</v>
      </c>
      <c r="M56" t="s">
        <v>564</v>
      </c>
    </row>
    <row r="57" spans="1:14">
      <c r="A57">
        <v>22</v>
      </c>
      <c r="B57" t="s">
        <v>356</v>
      </c>
      <c r="C57">
        <v>2</v>
      </c>
      <c r="D57" t="s">
        <v>360</v>
      </c>
      <c r="E57" t="s">
        <v>70</v>
      </c>
      <c r="F57" t="s">
        <v>677</v>
      </c>
      <c r="G57" t="s">
        <v>680</v>
      </c>
      <c r="H57" t="s">
        <v>65</v>
      </c>
      <c r="I57" t="s">
        <v>681</v>
      </c>
      <c r="J57" s="3">
        <v>46022</v>
      </c>
      <c r="K57" t="s">
        <v>681</v>
      </c>
      <c r="L57" s="3">
        <v>46022</v>
      </c>
      <c r="M57" t="s">
        <v>564</v>
      </c>
    </row>
    <row r="58" spans="1:14">
      <c r="A58">
        <v>22</v>
      </c>
      <c r="B58" t="s">
        <v>356</v>
      </c>
      <c r="C58">
        <v>3</v>
      </c>
      <c r="D58" t="s">
        <v>363</v>
      </c>
      <c r="E58" t="s">
        <v>70</v>
      </c>
      <c r="F58" t="s">
        <v>677</v>
      </c>
      <c r="G58" t="s">
        <v>682</v>
      </c>
      <c r="H58" t="s">
        <v>65</v>
      </c>
      <c r="I58" t="s">
        <v>683</v>
      </c>
      <c r="J58" s="3">
        <v>46111</v>
      </c>
      <c r="K58" t="s">
        <v>684</v>
      </c>
      <c r="L58" s="3">
        <v>46386</v>
      </c>
      <c r="M58" t="s">
        <v>522</v>
      </c>
      <c r="N58" t="s">
        <v>634</v>
      </c>
    </row>
    <row r="59" spans="1:14">
      <c r="A59">
        <v>22</v>
      </c>
      <c r="B59" t="s">
        <v>356</v>
      </c>
      <c r="C59">
        <v>6</v>
      </c>
      <c r="D59" t="s">
        <v>366</v>
      </c>
      <c r="E59" t="s">
        <v>70</v>
      </c>
      <c r="F59" t="s">
        <v>677</v>
      </c>
      <c r="G59" t="s">
        <v>685</v>
      </c>
      <c r="H59" t="s">
        <v>65</v>
      </c>
      <c r="I59" t="s">
        <v>686</v>
      </c>
      <c r="J59" s="3">
        <v>46022</v>
      </c>
      <c r="K59" t="s">
        <v>686</v>
      </c>
      <c r="L59" s="3">
        <v>46022</v>
      </c>
      <c r="M59" t="s">
        <v>564</v>
      </c>
    </row>
    <row r="60" spans="1:14">
      <c r="A60">
        <v>22</v>
      </c>
      <c r="B60" t="s">
        <v>356</v>
      </c>
      <c r="C60">
        <v>7</v>
      </c>
      <c r="D60" t="s">
        <v>369</v>
      </c>
      <c r="E60" t="s">
        <v>70</v>
      </c>
      <c r="F60" t="s">
        <v>677</v>
      </c>
      <c r="G60" t="s">
        <v>687</v>
      </c>
      <c r="H60" t="s">
        <v>65</v>
      </c>
      <c r="I60" t="s">
        <v>688</v>
      </c>
      <c r="J60" s="3">
        <v>46022</v>
      </c>
      <c r="K60" t="s">
        <v>688</v>
      </c>
      <c r="L60" s="3">
        <v>46022</v>
      </c>
      <c r="M60" t="s">
        <v>564</v>
      </c>
    </row>
    <row r="61" spans="1:14">
      <c r="A61">
        <v>22</v>
      </c>
      <c r="B61" t="s">
        <v>356</v>
      </c>
      <c r="C61">
        <v>8</v>
      </c>
      <c r="D61" t="s">
        <v>372</v>
      </c>
      <c r="E61" t="s">
        <v>70</v>
      </c>
      <c r="F61" t="s">
        <v>689</v>
      </c>
      <c r="G61" t="s">
        <v>690</v>
      </c>
      <c r="H61" t="s">
        <v>65</v>
      </c>
      <c r="I61" t="s">
        <v>691</v>
      </c>
      <c r="J61" s="3">
        <v>46052</v>
      </c>
      <c r="K61" t="s">
        <v>692</v>
      </c>
      <c r="L61" s="3">
        <v>46386</v>
      </c>
      <c r="M61" t="s">
        <v>522</v>
      </c>
      <c r="N61" t="s">
        <v>634</v>
      </c>
    </row>
    <row r="62" spans="1:14">
      <c r="A62">
        <v>22</v>
      </c>
      <c r="B62" t="s">
        <v>356</v>
      </c>
      <c r="C62">
        <v>9</v>
      </c>
      <c r="D62" t="s">
        <v>375</v>
      </c>
      <c r="E62" t="s">
        <v>70</v>
      </c>
      <c r="F62" t="s">
        <v>693</v>
      </c>
      <c r="G62" t="s">
        <v>694</v>
      </c>
      <c r="H62" t="s">
        <v>65</v>
      </c>
      <c r="I62" t="s">
        <v>695</v>
      </c>
      <c r="J62" s="3">
        <v>46111</v>
      </c>
      <c r="K62" t="s">
        <v>692</v>
      </c>
      <c r="L62" s="3">
        <v>46386</v>
      </c>
      <c r="M62" t="s">
        <v>522</v>
      </c>
      <c r="N62" t="s">
        <v>634</v>
      </c>
    </row>
    <row r="63" spans="1:14">
      <c r="A63">
        <v>22</v>
      </c>
      <c r="B63" t="s">
        <v>356</v>
      </c>
      <c r="C63">
        <v>10</v>
      </c>
      <c r="D63" t="s">
        <v>378</v>
      </c>
      <c r="E63" t="s">
        <v>70</v>
      </c>
      <c r="F63" t="s">
        <v>677</v>
      </c>
      <c r="G63" t="s">
        <v>696</v>
      </c>
      <c r="H63" t="s">
        <v>65</v>
      </c>
      <c r="I63" t="s">
        <v>697</v>
      </c>
      <c r="J63" s="3">
        <v>46022</v>
      </c>
      <c r="K63" t="s">
        <v>698</v>
      </c>
      <c r="L63" s="3">
        <v>46386</v>
      </c>
      <c r="M63" t="s">
        <v>522</v>
      </c>
      <c r="N63" t="s">
        <v>634</v>
      </c>
    </row>
    <row r="64" spans="1:14">
      <c r="A64">
        <v>22</v>
      </c>
      <c r="B64" t="s">
        <v>356</v>
      </c>
      <c r="C64">
        <v>11</v>
      </c>
      <c r="D64" t="s">
        <v>381</v>
      </c>
      <c r="E64" t="s">
        <v>70</v>
      </c>
      <c r="F64" t="s">
        <v>699</v>
      </c>
      <c r="G64" t="s">
        <v>700</v>
      </c>
      <c r="H64" t="s">
        <v>65</v>
      </c>
      <c r="I64" t="s">
        <v>701</v>
      </c>
      <c r="J64" s="3">
        <v>46022</v>
      </c>
      <c r="K64" t="s">
        <v>702</v>
      </c>
      <c r="L64" s="3">
        <v>46386</v>
      </c>
      <c r="M64" t="s">
        <v>522</v>
      </c>
      <c r="N64" t="s">
        <v>634</v>
      </c>
    </row>
    <row r="65" spans="1:14">
      <c r="A65">
        <v>22</v>
      </c>
      <c r="B65" t="s">
        <v>356</v>
      </c>
      <c r="C65">
        <v>49</v>
      </c>
      <c r="D65" t="s">
        <v>384</v>
      </c>
      <c r="E65" t="s">
        <v>70</v>
      </c>
      <c r="F65" t="s">
        <v>699</v>
      </c>
      <c r="G65" t="s">
        <v>703</v>
      </c>
      <c r="H65" t="s">
        <v>65</v>
      </c>
      <c r="I65" t="s">
        <v>704</v>
      </c>
      <c r="J65" s="3">
        <v>46111</v>
      </c>
      <c r="K65" t="s">
        <v>705</v>
      </c>
      <c r="L65" s="3">
        <v>46386</v>
      </c>
      <c r="M65" t="s">
        <v>522</v>
      </c>
      <c r="N65" t="s">
        <v>634</v>
      </c>
    </row>
    <row r="66" spans="1:14">
      <c r="A66">
        <v>22</v>
      </c>
      <c r="B66" t="s">
        <v>356</v>
      </c>
      <c r="C66">
        <v>52</v>
      </c>
      <c r="D66" t="s">
        <v>387</v>
      </c>
      <c r="E66" t="s">
        <v>70</v>
      </c>
      <c r="F66" t="s">
        <v>699</v>
      </c>
      <c r="G66" t="s">
        <v>706</v>
      </c>
      <c r="H66" t="s">
        <v>65</v>
      </c>
      <c r="I66" t="s">
        <v>707</v>
      </c>
      <c r="J66" s="3">
        <v>46111</v>
      </c>
      <c r="K66" t="s">
        <v>708</v>
      </c>
      <c r="L66" s="3">
        <v>46386</v>
      </c>
      <c r="M66" t="s">
        <v>522</v>
      </c>
      <c r="N66" t="s">
        <v>634</v>
      </c>
    </row>
    <row r="67" spans="1:14">
      <c r="A67">
        <v>22</v>
      </c>
      <c r="B67" t="s">
        <v>356</v>
      </c>
      <c r="C67">
        <v>55</v>
      </c>
      <c r="D67" t="s">
        <v>390</v>
      </c>
      <c r="E67" t="s">
        <v>70</v>
      </c>
      <c r="F67" t="s">
        <v>709</v>
      </c>
      <c r="G67" t="s">
        <v>710</v>
      </c>
      <c r="H67" t="s">
        <v>65</v>
      </c>
      <c r="I67" t="s">
        <v>711</v>
      </c>
      <c r="J67" s="3">
        <v>46111</v>
      </c>
      <c r="K67" t="s">
        <v>712</v>
      </c>
      <c r="L67" s="3">
        <v>46386</v>
      </c>
      <c r="M67" t="s">
        <v>507</v>
      </c>
      <c r="N67" t="s">
        <v>713</v>
      </c>
    </row>
    <row r="68" spans="1:14">
      <c r="A68">
        <v>22</v>
      </c>
      <c r="B68" t="s">
        <v>356</v>
      </c>
      <c r="C68">
        <v>58</v>
      </c>
      <c r="D68" t="s">
        <v>393</v>
      </c>
      <c r="E68" t="s">
        <v>70</v>
      </c>
      <c r="F68" t="s">
        <v>699</v>
      </c>
      <c r="G68" t="s">
        <v>714</v>
      </c>
      <c r="H68" t="s">
        <v>65</v>
      </c>
      <c r="I68" t="s">
        <v>704</v>
      </c>
      <c r="J68" s="3">
        <v>46111</v>
      </c>
      <c r="K68" t="s">
        <v>715</v>
      </c>
      <c r="L68" s="3">
        <v>46386</v>
      </c>
      <c r="M68" t="s">
        <v>507</v>
      </c>
      <c r="N68" t="s">
        <v>713</v>
      </c>
    </row>
    <row r="69" spans="1:14">
      <c r="A69">
        <v>23</v>
      </c>
      <c r="B69" t="s">
        <v>396</v>
      </c>
      <c r="C69">
        <v>5</v>
      </c>
      <c r="D69" t="s">
        <v>397</v>
      </c>
      <c r="E69" t="s">
        <v>398</v>
      </c>
      <c r="H69" t="s">
        <v>65</v>
      </c>
      <c r="J69" s="3"/>
      <c r="L69" s="3"/>
      <c r="M69" t="s">
        <v>650</v>
      </c>
    </row>
    <row r="70" spans="1:14">
      <c r="A70">
        <v>23</v>
      </c>
      <c r="B70" t="s">
        <v>396</v>
      </c>
      <c r="C70">
        <v>53</v>
      </c>
      <c r="D70" t="s">
        <v>401</v>
      </c>
      <c r="E70" t="s">
        <v>398</v>
      </c>
      <c r="H70" t="s">
        <v>65</v>
      </c>
      <c r="J70" s="3"/>
      <c r="L70" s="3"/>
      <c r="M70" t="s">
        <v>650</v>
      </c>
    </row>
    <row r="71" spans="1:14">
      <c r="A71">
        <v>24</v>
      </c>
      <c r="B71" t="s">
        <v>404</v>
      </c>
      <c r="C71">
        <v>4</v>
      </c>
      <c r="D71" t="s">
        <v>405</v>
      </c>
      <c r="E71" t="s">
        <v>406</v>
      </c>
      <c r="F71" t="s">
        <v>408</v>
      </c>
      <c r="G71" t="s">
        <v>716</v>
      </c>
      <c r="H71" t="s">
        <v>717</v>
      </c>
      <c r="I71" t="s">
        <v>407</v>
      </c>
      <c r="J71" s="3">
        <v>46141</v>
      </c>
      <c r="K71" t="s">
        <v>410</v>
      </c>
      <c r="L71" s="3">
        <v>46233</v>
      </c>
      <c r="M71" t="s">
        <v>564</v>
      </c>
    </row>
    <row r="72" spans="1:14">
      <c r="A72">
        <v>24</v>
      </c>
      <c r="B72" t="s">
        <v>404</v>
      </c>
      <c r="C72">
        <v>12</v>
      </c>
      <c r="D72" t="s">
        <v>413</v>
      </c>
      <c r="E72" t="s">
        <v>406</v>
      </c>
      <c r="F72" t="s">
        <v>415</v>
      </c>
      <c r="G72" t="s">
        <v>416</v>
      </c>
      <c r="H72" t="s">
        <v>718</v>
      </c>
      <c r="I72" t="s">
        <v>719</v>
      </c>
      <c r="J72" s="3">
        <v>46052</v>
      </c>
      <c r="K72" t="s">
        <v>417</v>
      </c>
      <c r="L72" s="3">
        <v>46202</v>
      </c>
      <c r="M72" t="s">
        <v>564</v>
      </c>
    </row>
    <row r="73" spans="1:14">
      <c r="A73">
        <v>24</v>
      </c>
      <c r="B73" t="s">
        <v>404</v>
      </c>
      <c r="C73">
        <v>13</v>
      </c>
      <c r="D73" t="s">
        <v>420</v>
      </c>
      <c r="E73" t="s">
        <v>406</v>
      </c>
      <c r="F73" t="s">
        <v>720</v>
      </c>
      <c r="G73" t="s">
        <v>721</v>
      </c>
      <c r="H73" t="s">
        <v>722</v>
      </c>
      <c r="I73" t="s">
        <v>421</v>
      </c>
      <c r="J73" s="3">
        <v>46052</v>
      </c>
      <c r="K73" t="s">
        <v>423</v>
      </c>
      <c r="L73" s="3">
        <v>46111</v>
      </c>
      <c r="M73" t="s">
        <v>564</v>
      </c>
    </row>
    <row r="74" spans="1:14">
      <c r="A74">
        <v>25</v>
      </c>
      <c r="B74" t="s">
        <v>426</v>
      </c>
      <c r="C74">
        <v>29</v>
      </c>
      <c r="D74" t="s">
        <v>427</v>
      </c>
      <c r="E74" t="s">
        <v>428</v>
      </c>
      <c r="F74" t="s">
        <v>723</v>
      </c>
      <c r="G74" t="s">
        <v>724</v>
      </c>
      <c r="H74" t="s">
        <v>725</v>
      </c>
      <c r="I74" t="s">
        <v>726</v>
      </c>
      <c r="J74" s="3">
        <v>46008</v>
      </c>
      <c r="K74" t="s">
        <v>432</v>
      </c>
      <c r="L74" s="3">
        <v>46365</v>
      </c>
      <c r="M74" t="s">
        <v>522</v>
      </c>
      <c r="N74" t="s">
        <v>727</v>
      </c>
    </row>
    <row r="75" spans="1:14">
      <c r="A75">
        <v>26</v>
      </c>
      <c r="B75" t="s">
        <v>435</v>
      </c>
      <c r="C75">
        <v>32</v>
      </c>
      <c r="D75" t="s">
        <v>436</v>
      </c>
      <c r="E75" t="s">
        <v>437</v>
      </c>
      <c r="H75" t="s">
        <v>65</v>
      </c>
      <c r="J75" s="3"/>
      <c r="L75" s="3"/>
      <c r="M75" t="s">
        <v>650</v>
      </c>
    </row>
    <row r="76" spans="1:14">
      <c r="A76">
        <v>27</v>
      </c>
      <c r="B76" t="s">
        <v>441</v>
      </c>
      <c r="C76">
        <v>35</v>
      </c>
      <c r="D76" t="s">
        <v>442</v>
      </c>
      <c r="E76" t="s">
        <v>443</v>
      </c>
      <c r="F76" t="s">
        <v>445</v>
      </c>
      <c r="G76" t="s">
        <v>728</v>
      </c>
      <c r="H76" t="s">
        <v>65</v>
      </c>
      <c r="I76" t="s">
        <v>729</v>
      </c>
      <c r="J76" s="3">
        <v>46052</v>
      </c>
      <c r="K76" t="s">
        <v>730</v>
      </c>
      <c r="L76" s="3">
        <v>46282</v>
      </c>
      <c r="M76" t="s">
        <v>564</v>
      </c>
    </row>
    <row r="77" spans="1:14">
      <c r="A77">
        <v>28</v>
      </c>
      <c r="B77" t="s">
        <v>450</v>
      </c>
      <c r="C77">
        <v>30</v>
      </c>
      <c r="D77" t="s">
        <v>451</v>
      </c>
      <c r="E77" t="s">
        <v>452</v>
      </c>
      <c r="H77" t="s">
        <v>65</v>
      </c>
      <c r="J77" s="3"/>
      <c r="L77" s="3"/>
      <c r="M77" t="s">
        <v>650</v>
      </c>
    </row>
    <row r="78" spans="1:14">
      <c r="A78">
        <v>28</v>
      </c>
      <c r="B78" t="s">
        <v>450</v>
      </c>
      <c r="C78">
        <v>31</v>
      </c>
      <c r="D78" t="s">
        <v>455</v>
      </c>
      <c r="E78" t="s">
        <v>452</v>
      </c>
      <c r="H78" t="s">
        <v>65</v>
      </c>
      <c r="J78" s="3"/>
      <c r="L78" s="3"/>
      <c r="M78" t="s">
        <v>650</v>
      </c>
    </row>
    <row r="79" spans="1:14">
      <c r="A79">
        <v>11</v>
      </c>
      <c r="B79" t="s">
        <v>215</v>
      </c>
      <c r="C79">
        <v>38</v>
      </c>
      <c r="D79" t="s">
        <v>458</v>
      </c>
      <c r="E79" t="s">
        <v>35</v>
      </c>
      <c r="F79" t="s">
        <v>731</v>
      </c>
      <c r="H79" t="s">
        <v>610</v>
      </c>
      <c r="J79" s="3"/>
      <c r="L79" s="3"/>
      <c r="M79" t="s">
        <v>650</v>
      </c>
    </row>
    <row r="80" spans="1:14">
      <c r="A80">
        <v>29</v>
      </c>
      <c r="B80" t="s">
        <v>461</v>
      </c>
      <c r="C80">
        <v>79</v>
      </c>
      <c r="D80" t="s">
        <v>462</v>
      </c>
      <c r="E80" t="s">
        <v>35</v>
      </c>
      <c r="F80" t="s">
        <v>732</v>
      </c>
      <c r="H80" t="s">
        <v>610</v>
      </c>
      <c r="J80" s="3"/>
      <c r="L80" s="3"/>
      <c r="M80" t="s">
        <v>650</v>
      </c>
    </row>
    <row r="81" spans="1:14">
      <c r="A81">
        <v>29</v>
      </c>
      <c r="B81" t="s">
        <v>461</v>
      </c>
      <c r="C81">
        <v>82</v>
      </c>
      <c r="D81" t="s">
        <v>465</v>
      </c>
      <c r="E81" t="s">
        <v>35</v>
      </c>
      <c r="F81" t="s">
        <v>732</v>
      </c>
      <c r="H81" t="s">
        <v>610</v>
      </c>
      <c r="J81" s="3"/>
      <c r="L81" s="3"/>
      <c r="M81" t="s">
        <v>650</v>
      </c>
    </row>
    <row r="82" spans="1:14">
      <c r="A82">
        <v>30</v>
      </c>
      <c r="B82" t="s">
        <v>468</v>
      </c>
      <c r="C82">
        <v>84</v>
      </c>
      <c r="D82" t="s">
        <v>469</v>
      </c>
      <c r="E82" t="s">
        <v>338</v>
      </c>
      <c r="H82" t="s">
        <v>65</v>
      </c>
      <c r="J82" s="3"/>
      <c r="L82" s="3"/>
      <c r="M82" t="s">
        <v>650</v>
      </c>
    </row>
    <row r="83" spans="1:14">
      <c r="A83">
        <v>30</v>
      </c>
      <c r="B83" t="s">
        <v>468</v>
      </c>
      <c r="C83">
        <v>85</v>
      </c>
      <c r="D83" t="s">
        <v>472</v>
      </c>
      <c r="E83" t="s">
        <v>338</v>
      </c>
      <c r="H83" t="s">
        <v>65</v>
      </c>
      <c r="J83" s="3"/>
      <c r="L83" s="3"/>
      <c r="M83" t="s">
        <v>650</v>
      </c>
    </row>
    <row r="84" spans="1:14">
      <c r="A84">
        <v>30</v>
      </c>
      <c r="B84" t="s">
        <v>468</v>
      </c>
      <c r="C84">
        <v>86</v>
      </c>
      <c r="D84" t="s">
        <v>475</v>
      </c>
      <c r="E84" t="s">
        <v>338</v>
      </c>
      <c r="H84" t="s">
        <v>65</v>
      </c>
      <c r="J84" s="3"/>
      <c r="L84" s="3"/>
      <c r="M84" t="s">
        <v>650</v>
      </c>
    </row>
    <row r="85" spans="1:14">
      <c r="A85">
        <v>30</v>
      </c>
      <c r="B85" t="s">
        <v>468</v>
      </c>
      <c r="C85">
        <v>87</v>
      </c>
      <c r="D85" t="s">
        <v>478</v>
      </c>
      <c r="E85" t="s">
        <v>338</v>
      </c>
      <c r="H85" t="s">
        <v>65</v>
      </c>
      <c r="J85" s="3"/>
      <c r="L85" s="3"/>
      <c r="M85" t="s">
        <v>650</v>
      </c>
    </row>
    <row r="86" spans="1:14">
      <c r="A86">
        <v>31</v>
      </c>
      <c r="B86" t="s">
        <v>481</v>
      </c>
      <c r="C86">
        <v>94</v>
      </c>
      <c r="D86" t="s">
        <v>482</v>
      </c>
      <c r="E86" t="s">
        <v>483</v>
      </c>
      <c r="F86" t="s">
        <v>733</v>
      </c>
      <c r="H86" t="s">
        <v>65</v>
      </c>
      <c r="I86" t="s">
        <v>734</v>
      </c>
      <c r="J86" s="3">
        <v>46053</v>
      </c>
      <c r="K86" t="s">
        <v>735</v>
      </c>
      <c r="L86" s="3">
        <v>46234</v>
      </c>
      <c r="M86" t="s">
        <v>564</v>
      </c>
    </row>
    <row r="87" spans="1:14">
      <c r="A87">
        <v>31</v>
      </c>
      <c r="B87" t="s">
        <v>481</v>
      </c>
      <c r="C87">
        <v>95</v>
      </c>
      <c r="D87" t="s">
        <v>490</v>
      </c>
      <c r="E87" t="s">
        <v>483</v>
      </c>
      <c r="F87" t="s">
        <v>736</v>
      </c>
      <c r="H87" t="s">
        <v>65</v>
      </c>
      <c r="I87" t="s">
        <v>737</v>
      </c>
      <c r="J87" s="3">
        <v>46053</v>
      </c>
      <c r="K87" t="s">
        <v>738</v>
      </c>
      <c r="L87" s="3">
        <v>46387</v>
      </c>
      <c r="M87" t="s">
        <v>507</v>
      </c>
      <c r="N87" t="s">
        <v>739</v>
      </c>
    </row>
    <row r="88" spans="1:14">
      <c r="A88">
        <v>31</v>
      </c>
      <c r="B88" t="s">
        <v>481</v>
      </c>
      <c r="C88">
        <v>94</v>
      </c>
      <c r="D88" t="s">
        <v>482</v>
      </c>
      <c r="E88" t="s">
        <v>483</v>
      </c>
      <c r="F88" t="s">
        <v>733</v>
      </c>
      <c r="H88" t="s">
        <v>65</v>
      </c>
      <c r="I88" t="s">
        <v>740</v>
      </c>
      <c r="J88" s="3">
        <v>46053</v>
      </c>
      <c r="K88" t="s">
        <v>741</v>
      </c>
      <c r="L88" s="3">
        <v>46326</v>
      </c>
      <c r="M88" t="s">
        <v>564</v>
      </c>
    </row>
    <row r="89" spans="1:14">
      <c r="A89">
        <v>31</v>
      </c>
      <c r="B89" t="s">
        <v>481</v>
      </c>
      <c r="C89">
        <v>95</v>
      </c>
      <c r="D89" t="s">
        <v>490</v>
      </c>
      <c r="E89" t="s">
        <v>483</v>
      </c>
      <c r="F89" t="s">
        <v>742</v>
      </c>
      <c r="H89" t="s">
        <v>65</v>
      </c>
      <c r="I89" t="s">
        <v>743</v>
      </c>
      <c r="J89" s="3">
        <v>46022</v>
      </c>
      <c r="K89" t="s">
        <v>744</v>
      </c>
      <c r="L89" s="3"/>
      <c r="M89" t="s">
        <v>507</v>
      </c>
      <c r="N89" t="s">
        <v>745</v>
      </c>
    </row>
    <row r="90" spans="1:14">
      <c r="A90">
        <v>31</v>
      </c>
      <c r="B90" t="s">
        <v>481</v>
      </c>
      <c r="C90">
        <v>95</v>
      </c>
      <c r="D90" t="s">
        <v>490</v>
      </c>
      <c r="E90" t="s">
        <v>483</v>
      </c>
      <c r="F90" t="s">
        <v>746</v>
      </c>
      <c r="H90" t="s">
        <v>65</v>
      </c>
      <c r="I90" t="s">
        <v>747</v>
      </c>
      <c r="J90" s="3">
        <v>46053</v>
      </c>
      <c r="K90" t="s">
        <v>748</v>
      </c>
      <c r="L90" s="3">
        <v>46387</v>
      </c>
      <c r="M90" t="s">
        <v>507</v>
      </c>
      <c r="N90" t="s">
        <v>713</v>
      </c>
    </row>
    <row r="91" spans="1:14">
      <c r="A91">
        <v>31</v>
      </c>
      <c r="B91" t="s">
        <v>481</v>
      </c>
      <c r="C91">
        <v>95</v>
      </c>
      <c r="D91" t="s">
        <v>490</v>
      </c>
      <c r="E91" t="s">
        <v>483</v>
      </c>
      <c r="F91" t="s">
        <v>749</v>
      </c>
      <c r="H91" t="s">
        <v>65</v>
      </c>
      <c r="I91" t="s">
        <v>750</v>
      </c>
      <c r="J91" s="3">
        <v>46052</v>
      </c>
      <c r="K91" t="s">
        <v>751</v>
      </c>
      <c r="L91" s="3">
        <v>46386</v>
      </c>
      <c r="M91" t="s">
        <v>507</v>
      </c>
      <c r="N91" t="s">
        <v>739</v>
      </c>
    </row>
    <row r="92" spans="1:14">
      <c r="A92">
        <v>31</v>
      </c>
      <c r="B92" t="s">
        <v>481</v>
      </c>
      <c r="C92">
        <v>95</v>
      </c>
      <c r="D92" t="s">
        <v>490</v>
      </c>
      <c r="E92" t="s">
        <v>483</v>
      </c>
      <c r="F92" t="s">
        <v>733</v>
      </c>
      <c r="H92" t="s">
        <v>65</v>
      </c>
      <c r="I92" t="s">
        <v>752</v>
      </c>
      <c r="J92" s="3">
        <v>46387</v>
      </c>
      <c r="K92" t="s">
        <v>753</v>
      </c>
      <c r="L92" s="3">
        <v>46752</v>
      </c>
      <c r="M92" t="s">
        <v>507</v>
      </c>
      <c r="N92" t="s">
        <v>754</v>
      </c>
    </row>
    <row r="93" spans="1:14">
      <c r="A93">
        <v>14</v>
      </c>
      <c r="B93" t="s">
        <v>245</v>
      </c>
      <c r="C93">
        <v>64</v>
      </c>
      <c r="D93" t="s">
        <v>251</v>
      </c>
      <c r="E93" t="s">
        <v>247</v>
      </c>
      <c r="G93" t="s">
        <v>755</v>
      </c>
      <c r="H93" t="s">
        <v>65</v>
      </c>
      <c r="I93" t="s">
        <v>756</v>
      </c>
      <c r="J93" s="3">
        <v>46112</v>
      </c>
      <c r="K93" t="s">
        <v>757</v>
      </c>
      <c r="L93" s="3">
        <v>46387</v>
      </c>
      <c r="M93" t="s">
        <v>522</v>
      </c>
      <c r="N93" t="s">
        <v>634</v>
      </c>
    </row>
  </sheetData>
  <phoneticPr fontId="2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E3C90-D30D-4DA1-8DC4-5D726E40EF5B}">
  <dimension ref="B2:E8"/>
  <sheetViews>
    <sheetView zoomScale="70" zoomScaleNormal="70" workbookViewId="0">
      <selection activeCell="D2" sqref="D2:E3"/>
    </sheetView>
  </sheetViews>
  <sheetFormatPr baseColWidth="10" defaultColWidth="8.83203125" defaultRowHeight="15"/>
  <cols>
    <col min="1" max="2" width="17.83203125" customWidth="1"/>
    <col min="3" max="5" width="58.33203125" customWidth="1"/>
  </cols>
  <sheetData>
    <row r="2" spans="2:5">
      <c r="B2" t="s">
        <v>1459</v>
      </c>
      <c r="C2" t="s">
        <v>1458</v>
      </c>
      <c r="D2" t="s">
        <v>500</v>
      </c>
      <c r="E2" t="s">
        <v>1457</v>
      </c>
    </row>
    <row r="3" spans="2:5" ht="160">
      <c r="B3" s="14"/>
      <c r="C3" s="14"/>
      <c r="D3" s="14" t="s">
        <v>1472</v>
      </c>
      <c r="E3" s="14" t="s">
        <v>1473</v>
      </c>
    </row>
    <row r="8" spans="2:5" ht="1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9CF74-AE8D-4635-8A80-BB35CADBFE72}">
  <dimension ref="A1:AW98"/>
  <sheetViews>
    <sheetView tabSelected="1" zoomScale="137" zoomScaleNormal="85" workbookViewId="0">
      <pane xSplit="5" ySplit="5" topLeftCell="AG46" activePane="bottomRight" state="frozen"/>
      <selection pane="topRight" activeCell="F1" sqref="F1"/>
      <selection pane="bottomLeft" activeCell="A6" sqref="A6"/>
      <selection pane="bottomRight" activeCell="AH46" sqref="AH46"/>
    </sheetView>
  </sheetViews>
  <sheetFormatPr baseColWidth="10" defaultColWidth="8.5" defaultRowHeight="15" outlineLevelCol="1"/>
  <cols>
    <col min="1" max="1" width="5.1640625" style="14" customWidth="1"/>
    <col min="2" max="2" width="16.5" style="14" bestFit="1" customWidth="1"/>
    <col min="3" max="3" width="5.6640625" style="14" customWidth="1"/>
    <col min="4" max="4" width="12.33203125" style="14" customWidth="1"/>
    <col min="5" max="5" width="6" style="14" customWidth="1"/>
    <col min="6" max="8" width="13.33203125" style="14" hidden="1" customWidth="1"/>
    <col min="9" max="9" width="18.83203125" style="14" hidden="1" customWidth="1"/>
    <col min="10" max="10" width="27.83203125" style="14" customWidth="1"/>
    <col min="11" max="11" width="11.6640625" style="14" customWidth="1"/>
    <col min="12" max="12" width="35.5" style="14" bestFit="1" customWidth="1"/>
    <col min="13" max="13" width="14.83203125" style="14" customWidth="1"/>
    <col min="14" max="14" width="16.83203125" style="14" bestFit="1" customWidth="1"/>
    <col min="15" max="15" width="12.6640625" style="14" customWidth="1"/>
    <col min="16" max="16" width="24.5" style="14" customWidth="1"/>
    <col min="17" max="17" width="9.5" style="38" customWidth="1"/>
    <col min="18" max="18" width="29.5" style="14" customWidth="1"/>
    <col min="19" max="21" width="2.1640625" style="14" customWidth="1"/>
    <col min="22" max="22" width="30.83203125" style="14" customWidth="1" outlineLevel="1"/>
    <col min="23" max="23" width="26.5" style="14" customWidth="1" outlineLevel="1"/>
    <col min="24" max="25" width="16.5" style="14" customWidth="1" outlineLevel="1"/>
    <col min="26" max="26" width="14.5" style="14" customWidth="1" outlineLevel="1"/>
    <col min="27" max="29" width="3.6640625" style="14" customWidth="1" outlineLevel="1"/>
    <col min="30" max="30" width="22.33203125" style="14" customWidth="1" outlineLevel="1"/>
    <col min="31" max="31" width="3.5" style="14" customWidth="1"/>
    <col min="32" max="33" width="2.5" style="14" customWidth="1"/>
    <col min="34" max="34" width="74.33203125" style="14" customWidth="1" outlineLevel="1"/>
    <col min="35" max="35" width="70.33203125" style="14" customWidth="1" outlineLevel="1"/>
    <col min="36" max="37" width="74.1640625" style="14" customWidth="1" outlineLevel="1"/>
    <col min="38" max="38" width="59.5" style="14" customWidth="1" outlineLevel="1"/>
    <col min="39" max="41" width="3" style="2" customWidth="1" outlineLevel="1"/>
    <col min="42" max="42" width="4" style="2" customWidth="1"/>
    <col min="43" max="43" width="2.83203125" style="2" customWidth="1"/>
    <col min="44" max="44" width="4" style="2" customWidth="1"/>
    <col min="45" max="46" width="3.5" style="2" customWidth="1"/>
    <col min="47" max="47" width="13.5" style="14" customWidth="1" outlineLevel="1"/>
    <col min="48" max="48" width="8.1640625" style="14" customWidth="1" outlineLevel="1"/>
    <col min="49" max="49" width="4.1640625" style="14" customWidth="1" outlineLevel="1"/>
    <col min="50" max="50" width="3.5" style="14" customWidth="1"/>
    <col min="51" max="16384" width="8.5" style="14"/>
  </cols>
  <sheetData>
    <row r="1" spans="1:47" s="8" customFormat="1" ht="24">
      <c r="A1" s="11" t="s">
        <v>758</v>
      </c>
      <c r="E1" s="14"/>
      <c r="P1" s="14"/>
      <c r="Q1" s="38"/>
      <c r="R1" s="14"/>
    </row>
    <row r="2" spans="1:47" s="8" customFormat="1" ht="9" customHeight="1">
      <c r="E2" s="14"/>
      <c r="P2" s="14"/>
      <c r="Q2" s="38"/>
      <c r="R2" s="14"/>
    </row>
    <row r="3" spans="1:47" s="8" customFormat="1" ht="24">
      <c r="A3" s="12" t="s">
        <v>759</v>
      </c>
      <c r="E3" s="14"/>
      <c r="L3" s="40" t="s">
        <v>760</v>
      </c>
      <c r="M3" s="41">
        <f>COUNTIF(X6:X100, "*Action* completed*")/COUNTA(C6:C100)</f>
        <v>0</v>
      </c>
      <c r="P3" s="14"/>
      <c r="Q3" s="38"/>
      <c r="R3" s="14"/>
      <c r="V3" s="36" t="s">
        <v>761</v>
      </c>
      <c r="W3" s="36"/>
      <c r="X3" s="36"/>
      <c r="Y3" s="36"/>
      <c r="Z3" s="37"/>
      <c r="AH3" s="12" t="s">
        <v>762</v>
      </c>
      <c r="AI3" s="12"/>
      <c r="AM3" s="12"/>
      <c r="AN3" s="12"/>
      <c r="AO3" s="12"/>
      <c r="AU3" s="12" t="s">
        <v>763</v>
      </c>
    </row>
    <row r="4" spans="1:47" s="8" customFormat="1" ht="12" customHeight="1">
      <c r="A4" s="12"/>
      <c r="E4" s="14"/>
      <c r="P4" s="14"/>
      <c r="Q4" s="38"/>
      <c r="R4" s="14"/>
    </row>
    <row r="5" spans="1:47" ht="33" customHeight="1">
      <c r="A5" s="15" t="s">
        <v>496</v>
      </c>
      <c r="B5" s="15" t="s">
        <v>47</v>
      </c>
      <c r="C5" s="15" t="s">
        <v>497</v>
      </c>
      <c r="D5" s="15" t="s">
        <v>48</v>
      </c>
      <c r="E5" s="33" t="s">
        <v>764</v>
      </c>
      <c r="F5" s="15" t="s">
        <v>49</v>
      </c>
      <c r="G5" s="15" t="s">
        <v>52</v>
      </c>
      <c r="H5" s="15" t="s">
        <v>53</v>
      </c>
      <c r="I5" s="15" t="s">
        <v>498</v>
      </c>
      <c r="J5" s="15" t="s">
        <v>50</v>
      </c>
      <c r="K5" s="15" t="s">
        <v>51</v>
      </c>
      <c r="L5" s="15" t="s">
        <v>55</v>
      </c>
      <c r="M5" s="15" t="s">
        <v>56</v>
      </c>
      <c r="N5" s="15" t="s">
        <v>499</v>
      </c>
      <c r="O5" s="15" t="s">
        <v>500</v>
      </c>
      <c r="P5" s="33" t="s">
        <v>765</v>
      </c>
      <c r="Q5" s="39" t="s">
        <v>766</v>
      </c>
      <c r="R5" s="33" t="s">
        <v>767</v>
      </c>
      <c r="S5" s="15"/>
      <c r="T5" s="15"/>
      <c r="U5" s="15"/>
      <c r="V5" s="15" t="s">
        <v>768</v>
      </c>
      <c r="W5" s="15" t="s">
        <v>769</v>
      </c>
      <c r="X5" s="15" t="s">
        <v>767</v>
      </c>
      <c r="Y5" s="15" t="s">
        <v>770</v>
      </c>
      <c r="Z5" s="17" t="s">
        <v>771</v>
      </c>
      <c r="AA5" s="15" t="s">
        <v>496</v>
      </c>
      <c r="AB5" s="15" t="s">
        <v>497</v>
      </c>
      <c r="AC5" s="15" t="s">
        <v>772</v>
      </c>
      <c r="AD5" s="43" t="s">
        <v>773</v>
      </c>
      <c r="AE5" s="15"/>
      <c r="AF5" s="15"/>
      <c r="AH5" s="15" t="s">
        <v>774</v>
      </c>
      <c r="AI5" s="15" t="s">
        <v>775</v>
      </c>
      <c r="AJ5" s="15" t="s">
        <v>776</v>
      </c>
      <c r="AK5" s="15" t="s">
        <v>1352</v>
      </c>
      <c r="AL5" s="15" t="s">
        <v>777</v>
      </c>
      <c r="AM5" s="15" t="s">
        <v>496</v>
      </c>
      <c r="AN5" s="15" t="s">
        <v>497</v>
      </c>
      <c r="AO5" s="15" t="s">
        <v>778</v>
      </c>
      <c r="AP5" s="15"/>
      <c r="AQ5" s="14"/>
      <c r="AR5" s="15" t="s">
        <v>779</v>
      </c>
      <c r="AS5" s="15" t="s">
        <v>496</v>
      </c>
      <c r="AT5" s="15" t="s">
        <v>497</v>
      </c>
      <c r="AU5" s="15" t="s">
        <v>778</v>
      </c>
    </row>
    <row r="6" spans="1:47" ht="89.5" customHeight="1">
      <c r="A6" s="14">
        <v>1</v>
      </c>
      <c r="B6" s="14" t="s">
        <v>68</v>
      </c>
      <c r="C6" s="14">
        <v>14</v>
      </c>
      <c r="D6" s="14" t="s">
        <v>501</v>
      </c>
      <c r="E6" s="16"/>
      <c r="F6" s="14" t="s">
        <v>780</v>
      </c>
      <c r="G6" s="14" t="s">
        <v>781</v>
      </c>
      <c r="H6" s="14" t="s">
        <v>503</v>
      </c>
      <c r="I6" s="14" t="s">
        <v>782</v>
      </c>
      <c r="J6" s="14" t="s">
        <v>783</v>
      </c>
      <c r="K6" s="18">
        <v>46068</v>
      </c>
      <c r="L6" s="14" t="s">
        <v>784</v>
      </c>
      <c r="M6" s="18">
        <v>46183</v>
      </c>
      <c r="N6" s="16" t="s">
        <v>564</v>
      </c>
      <c r="P6" s="16" t="s">
        <v>785</v>
      </c>
      <c r="Q6" s="35">
        <f>UN80_Action_Plan__2_1[[#This Row],[Milestone 1 Deadline]]</f>
        <v>46068</v>
      </c>
      <c r="R6" s="16"/>
      <c r="V6" s="57" t="s">
        <v>785</v>
      </c>
      <c r="W6" s="56">
        <f>UN80_Action_Plan__2_1[[#This Row],[DeliveryDate]]</f>
        <v>46068</v>
      </c>
      <c r="X6" s="21"/>
      <c r="Y6" s="21"/>
      <c r="Z6" s="14" t="s">
        <v>786</v>
      </c>
      <c r="AA6" s="14">
        <v>1</v>
      </c>
      <c r="AB6" s="14">
        <v>14</v>
      </c>
      <c r="AC6" s="14">
        <f>IF(UN80_Action_Plan__2_1[[#This Row],[Action No]]=Table10[[#This Row],[Action No]],1,0)</f>
        <v>1</v>
      </c>
      <c r="AD6" s="14">
        <f t="shared" ref="AD6:AD37" si="0">IF(
    AND(P6=V6, INT(Q6)=INT(W6), R6=X6),
    1,
    _xlfn.TEXTJOIN(", ", TRUE,
        IF(P6&lt;&gt;V6, "Upcoming milestone mismatch", ""),
        IF(INT(Q6)&lt;&gt;INT(W6), "Delivery date mismatch", ""),
        IF(R6&lt;&gt;X6, "Updates mismatch", "")
    )
)</f>
        <v>1</v>
      </c>
      <c r="AJ6" s="14" t="s">
        <v>1353</v>
      </c>
      <c r="AK6" s="15" t="s">
        <v>1354</v>
      </c>
      <c r="AL6" s="14" t="s">
        <v>787</v>
      </c>
      <c r="AM6" s="14">
        <v>1</v>
      </c>
      <c r="AN6" s="14">
        <v>14</v>
      </c>
      <c r="AO6" s="14">
        <f>IF(UN80_Action_Plan__2_1[[#This Row],[Action No]]=Table8[[#This Row],[Action No]],1,0)</f>
        <v>1</v>
      </c>
      <c r="AP6" s="14"/>
      <c r="AQ6" s="14"/>
      <c r="AR6" s="14" t="s">
        <v>788</v>
      </c>
      <c r="AS6" s="14">
        <v>1</v>
      </c>
      <c r="AT6" s="14">
        <v>14</v>
      </c>
      <c r="AU6" s="14">
        <f>IF(UN80_Action_Plan__2_1[[#This Row],[Action No]]=Table9[[#This Row],[Action No]],1,0)</f>
        <v>1</v>
      </c>
    </row>
    <row r="7" spans="1:47" ht="89.5" customHeight="1">
      <c r="A7" s="14">
        <v>1</v>
      </c>
      <c r="B7" s="14" t="s">
        <v>68</v>
      </c>
      <c r="C7" s="14">
        <v>15</v>
      </c>
      <c r="D7" s="14" t="s">
        <v>509</v>
      </c>
      <c r="E7" s="16"/>
      <c r="F7" s="14" t="s">
        <v>780</v>
      </c>
      <c r="G7" s="14" t="s">
        <v>510</v>
      </c>
      <c r="H7" s="14" t="s">
        <v>503</v>
      </c>
      <c r="I7" s="14" t="s">
        <v>789</v>
      </c>
      <c r="J7" s="14" t="s">
        <v>790</v>
      </c>
      <c r="K7" s="18">
        <v>46068</v>
      </c>
      <c r="L7" s="14" t="s">
        <v>791</v>
      </c>
      <c r="M7" s="18">
        <v>46112</v>
      </c>
      <c r="N7" s="16" t="s">
        <v>564</v>
      </c>
      <c r="P7" s="16" t="s">
        <v>785</v>
      </c>
      <c r="Q7" s="35">
        <f>UN80_Action_Plan__2_1[[#This Row],[Milestone 1 Deadline]]</f>
        <v>46068</v>
      </c>
      <c r="R7" s="16"/>
      <c r="V7" s="57" t="s">
        <v>785</v>
      </c>
      <c r="W7" s="56">
        <f>UN80_Action_Plan__2_1[[#This Row],[DeliveryDate]]</f>
        <v>46068</v>
      </c>
      <c r="X7" s="22"/>
      <c r="Y7" s="22"/>
      <c r="Z7" s="14" t="s">
        <v>786</v>
      </c>
      <c r="AA7" s="14">
        <v>1</v>
      </c>
      <c r="AB7" s="14">
        <v>15</v>
      </c>
      <c r="AC7" s="14">
        <f>IF(UN80_Action_Plan__2_1[[#This Row],[Action No]]=Table10[[#This Row],[Action No]],1,0)</f>
        <v>1</v>
      </c>
      <c r="AD7" s="14">
        <f t="shared" si="0"/>
        <v>1</v>
      </c>
      <c r="AI7" s="29" t="s">
        <v>792</v>
      </c>
      <c r="AJ7" s="14" t="s">
        <v>1355</v>
      </c>
      <c r="AK7" s="15" t="s">
        <v>1356</v>
      </c>
      <c r="AL7" s="14" t="s">
        <v>793</v>
      </c>
      <c r="AM7" s="14">
        <v>1</v>
      </c>
      <c r="AN7" s="14">
        <v>15</v>
      </c>
      <c r="AO7" s="14">
        <f>IF(UN80_Action_Plan__2_1[[#This Row],[Action No]]=Table8[[#This Row],[Action No]],1,0)</f>
        <v>1</v>
      </c>
      <c r="AP7" s="14"/>
      <c r="AQ7" s="14"/>
      <c r="AR7" s="14" t="s">
        <v>788</v>
      </c>
      <c r="AS7" s="14">
        <v>1</v>
      </c>
      <c r="AT7" s="14">
        <v>15</v>
      </c>
      <c r="AU7" s="14">
        <f>IF(UN80_Action_Plan__2_1[[#This Row],[Action No]]=Table9[[#This Row],[Action No]],1,0)</f>
        <v>1</v>
      </c>
    </row>
    <row r="8" spans="1:47" ht="89.5" customHeight="1">
      <c r="A8" s="14">
        <v>2</v>
      </c>
      <c r="B8" s="14" t="s">
        <v>84</v>
      </c>
      <c r="C8" s="14">
        <v>16</v>
      </c>
      <c r="D8" s="14" t="s">
        <v>85</v>
      </c>
      <c r="E8" s="16"/>
      <c r="F8" s="14" t="s">
        <v>86</v>
      </c>
      <c r="G8" s="14" t="s">
        <v>794</v>
      </c>
      <c r="H8" s="14" t="s">
        <v>514</v>
      </c>
      <c r="I8" s="14" t="s">
        <v>515</v>
      </c>
      <c r="J8" s="14" t="s">
        <v>795</v>
      </c>
      <c r="K8" s="18">
        <v>46111</v>
      </c>
      <c r="L8" s="14" t="s">
        <v>795</v>
      </c>
      <c r="M8" s="18">
        <v>46111</v>
      </c>
      <c r="N8" s="16" t="s">
        <v>564</v>
      </c>
      <c r="O8" s="14" t="s">
        <v>796</v>
      </c>
      <c r="P8" s="16" t="s">
        <v>797</v>
      </c>
      <c r="Q8" s="35">
        <v>46111.166666666664</v>
      </c>
      <c r="R8" s="16"/>
      <c r="V8" s="57" t="s">
        <v>797</v>
      </c>
      <c r="W8" s="56">
        <f>UN80_Action_Plan__2_1[[#This Row],[Milestone Final Deadline]]</f>
        <v>46111</v>
      </c>
      <c r="X8" s="22"/>
      <c r="Y8" s="22"/>
      <c r="Z8" s="14" t="s">
        <v>786</v>
      </c>
      <c r="AA8" s="14">
        <v>2</v>
      </c>
      <c r="AB8" s="14">
        <v>16</v>
      </c>
      <c r="AC8" s="14">
        <f>IF(UN80_Action_Plan__2_1[[#This Row],[Action No]]=Table10[[#This Row],[Action No]],1,0)</f>
        <v>1</v>
      </c>
      <c r="AD8" s="14">
        <f t="shared" si="0"/>
        <v>1</v>
      </c>
      <c r="AI8" s="14" t="s">
        <v>798</v>
      </c>
      <c r="AJ8" s="14" t="s">
        <v>1357</v>
      </c>
      <c r="AK8" s="15" t="s">
        <v>1358</v>
      </c>
      <c r="AM8" s="14">
        <v>2</v>
      </c>
      <c r="AN8" s="14">
        <v>16</v>
      </c>
      <c r="AO8" s="14">
        <f>IF(UN80_Action_Plan__2_1[[#This Row],[Action No]]=Table8[[#This Row],[Action No]],1,0)</f>
        <v>1</v>
      </c>
      <c r="AP8" s="14"/>
      <c r="AQ8" s="14"/>
      <c r="AR8" s="14"/>
      <c r="AS8" s="14">
        <v>2</v>
      </c>
      <c r="AT8" s="14">
        <v>16</v>
      </c>
      <c r="AU8" s="14">
        <f>IF(UN80_Action_Plan__2_1[[#This Row],[Action No]]=Table9[[#This Row],[Action No]],1,0)</f>
        <v>1</v>
      </c>
    </row>
    <row r="9" spans="1:47" ht="89.5" customHeight="1">
      <c r="A9" s="14">
        <v>2</v>
      </c>
      <c r="B9" s="14" t="s">
        <v>84</v>
      </c>
      <c r="C9" s="14">
        <v>17</v>
      </c>
      <c r="D9" s="14" t="s">
        <v>90</v>
      </c>
      <c r="E9" s="16"/>
      <c r="F9" s="14" t="s">
        <v>86</v>
      </c>
      <c r="G9" s="14" t="s">
        <v>799</v>
      </c>
      <c r="H9" s="14" t="s">
        <v>800</v>
      </c>
      <c r="I9" s="14" t="s">
        <v>801</v>
      </c>
      <c r="J9" s="14" t="s">
        <v>802</v>
      </c>
      <c r="K9" s="18">
        <v>46052</v>
      </c>
      <c r="L9" s="14" t="s">
        <v>521</v>
      </c>
      <c r="M9" s="18">
        <v>46264</v>
      </c>
      <c r="N9" s="16" t="s">
        <v>564</v>
      </c>
      <c r="P9" s="16" t="s">
        <v>803</v>
      </c>
      <c r="Q9" s="35">
        <v>46264.166666666664</v>
      </c>
      <c r="R9" s="16"/>
      <c r="V9" s="57" t="s">
        <v>803</v>
      </c>
      <c r="W9" s="56">
        <f>UN80_Action_Plan__2_1[[#This Row],[Milestone Final Deadline]]</f>
        <v>46264</v>
      </c>
      <c r="X9" s="23"/>
      <c r="Y9" s="23"/>
      <c r="Z9" s="14" t="s">
        <v>786</v>
      </c>
      <c r="AA9" s="14">
        <v>2</v>
      </c>
      <c r="AB9" s="14">
        <v>17</v>
      </c>
      <c r="AC9" s="14">
        <f>IF(UN80_Action_Plan__2_1[[#This Row],[Action No]]=Table10[[#This Row],[Action No]],1,0)</f>
        <v>1</v>
      </c>
      <c r="AD9" s="14">
        <f t="shared" si="0"/>
        <v>1</v>
      </c>
      <c r="AH9" s="29" t="s">
        <v>1371</v>
      </c>
      <c r="AJ9" s="19" t="s">
        <v>1359</v>
      </c>
      <c r="AK9" s="80" t="s">
        <v>1360</v>
      </c>
      <c r="AL9" s="14" t="s">
        <v>809</v>
      </c>
      <c r="AM9" s="14">
        <v>2</v>
      </c>
      <c r="AN9" s="14">
        <v>17</v>
      </c>
      <c r="AO9" s="14">
        <f>IF(UN80_Action_Plan__2_1[[#This Row],[Action No]]=Table8[[#This Row],[Action No]],1,0)</f>
        <v>1</v>
      </c>
      <c r="AP9" s="14"/>
      <c r="AQ9" s="14"/>
      <c r="AR9" s="14"/>
      <c r="AS9" s="14">
        <v>2</v>
      </c>
      <c r="AT9" s="14">
        <v>17</v>
      </c>
      <c r="AU9" s="14">
        <f>IF(UN80_Action_Plan__2_1[[#This Row],[Action No]]=Table9[[#This Row],[Action No]],1,0)</f>
        <v>1</v>
      </c>
    </row>
    <row r="10" spans="1:47" ht="89.5" customHeight="1">
      <c r="A10" s="14">
        <v>2</v>
      </c>
      <c r="B10" s="14" t="s">
        <v>84</v>
      </c>
      <c r="C10" s="14">
        <v>18</v>
      </c>
      <c r="D10" s="14" t="s">
        <v>93</v>
      </c>
      <c r="E10" s="16"/>
      <c r="F10" s="14" t="s">
        <v>86</v>
      </c>
      <c r="G10" s="14" t="s">
        <v>804</v>
      </c>
      <c r="H10" s="14" t="s">
        <v>805</v>
      </c>
      <c r="I10" s="14" t="s">
        <v>806</v>
      </c>
      <c r="J10" s="14" t="s">
        <v>807</v>
      </c>
      <c r="K10" s="18">
        <v>46052</v>
      </c>
      <c r="L10" s="14" t="s">
        <v>528</v>
      </c>
      <c r="M10" s="18">
        <v>46264</v>
      </c>
      <c r="N10" s="16" t="s">
        <v>564</v>
      </c>
      <c r="P10" s="16" t="s">
        <v>808</v>
      </c>
      <c r="Q10" s="35">
        <v>46264.166666666664</v>
      </c>
      <c r="R10" s="16"/>
      <c r="V10" s="57" t="s">
        <v>808</v>
      </c>
      <c r="W10" s="56">
        <f>UN80_Action_Plan__2_1[[#This Row],[Milestone Final Deadline]]</f>
        <v>46264</v>
      </c>
      <c r="X10" s="22"/>
      <c r="Y10" s="22"/>
      <c r="Z10" s="14" t="s">
        <v>786</v>
      </c>
      <c r="AA10" s="14">
        <v>2</v>
      </c>
      <c r="AB10" s="14">
        <v>18</v>
      </c>
      <c r="AC10" s="14">
        <f>IF(UN80_Action_Plan__2_1[[#This Row],[Action No]]=Table10[[#This Row],[Action No]],1,0)</f>
        <v>1</v>
      </c>
      <c r="AD10" s="14">
        <f t="shared" si="0"/>
        <v>1</v>
      </c>
      <c r="AH10" s="14" t="s">
        <v>1361</v>
      </c>
      <c r="AJ10" s="14" t="s">
        <v>1373</v>
      </c>
      <c r="AK10" s="15" t="s">
        <v>1374</v>
      </c>
      <c r="AM10" s="14">
        <v>2</v>
      </c>
      <c r="AN10" s="14">
        <v>18</v>
      </c>
      <c r="AO10" s="14">
        <f>IF(UN80_Action_Plan__2_1[[#This Row],[Action No]]=Table8[[#This Row],[Action No]],1,0)</f>
        <v>1</v>
      </c>
      <c r="AP10" s="14"/>
      <c r="AQ10" s="14"/>
      <c r="AR10" s="14"/>
      <c r="AS10" s="14">
        <v>2</v>
      </c>
      <c r="AT10" s="14">
        <v>18</v>
      </c>
      <c r="AU10" s="14">
        <f>IF(UN80_Action_Plan__2_1[[#This Row],[Action No]]=Table9[[#This Row],[Action No]],1,0)</f>
        <v>1</v>
      </c>
    </row>
    <row r="11" spans="1:47" ht="89.5" customHeight="1">
      <c r="A11" s="14">
        <v>2</v>
      </c>
      <c r="B11" s="14" t="s">
        <v>84</v>
      </c>
      <c r="C11" s="14">
        <v>20</v>
      </c>
      <c r="D11" s="14" t="s">
        <v>97</v>
      </c>
      <c r="E11" s="16"/>
      <c r="F11" s="14" t="s">
        <v>86</v>
      </c>
      <c r="G11" s="14" t="s">
        <v>810</v>
      </c>
      <c r="H11" s="14" t="s">
        <v>811</v>
      </c>
      <c r="I11" s="14" t="s">
        <v>812</v>
      </c>
      <c r="J11" s="14" t="s">
        <v>813</v>
      </c>
      <c r="K11" s="18">
        <v>46052</v>
      </c>
      <c r="L11" s="14" t="s">
        <v>814</v>
      </c>
      <c r="M11" s="18">
        <v>46264</v>
      </c>
      <c r="N11" s="16" t="s">
        <v>564</v>
      </c>
      <c r="P11" s="16" t="s">
        <v>815</v>
      </c>
      <c r="Q11" s="35">
        <v>46264.166666666664</v>
      </c>
      <c r="R11" s="16"/>
      <c r="V11" s="57" t="s">
        <v>816</v>
      </c>
      <c r="W11" s="56">
        <f>UN80_Action_Plan__2_1[[#This Row],[Milestone Final Deadline]]</f>
        <v>46264</v>
      </c>
      <c r="X11" s="22"/>
      <c r="Y11" s="22"/>
      <c r="Z11" s="14" t="s">
        <v>786</v>
      </c>
      <c r="AA11" s="14">
        <v>2</v>
      </c>
      <c r="AB11" s="14">
        <v>20</v>
      </c>
      <c r="AC11" s="14">
        <f>IF(UN80_Action_Plan__2_1[[#This Row],[Action No]]=Table10[[#This Row],[Action No]],1,0)</f>
        <v>1</v>
      </c>
      <c r="AD11" s="14" t="str">
        <f t="shared" si="0"/>
        <v>Upcoming milestone mismatch</v>
      </c>
      <c r="AH11" s="29" t="s">
        <v>817</v>
      </c>
      <c r="AJ11" s="19" t="s">
        <v>1375</v>
      </c>
      <c r="AK11" s="80" t="s">
        <v>1376</v>
      </c>
      <c r="AL11" s="14" t="s">
        <v>818</v>
      </c>
      <c r="AM11" s="14">
        <v>2</v>
      </c>
      <c r="AN11" s="14">
        <v>20</v>
      </c>
      <c r="AO11" s="14">
        <f>IF(UN80_Action_Plan__2_1[[#This Row],[Action No]]=Table8[[#This Row],[Action No]],1,0)</f>
        <v>1</v>
      </c>
      <c r="AP11" s="14"/>
      <c r="AQ11" s="14"/>
      <c r="AR11" s="14"/>
      <c r="AS11" s="14">
        <v>2</v>
      </c>
      <c r="AT11" s="14">
        <v>20</v>
      </c>
      <c r="AU11" s="14">
        <f>IF(UN80_Action_Plan__2_1[[#This Row],[Action No]]=Table9[[#This Row],[Action No]],1,0)</f>
        <v>1</v>
      </c>
    </row>
    <row r="12" spans="1:47" ht="89.5" customHeight="1">
      <c r="A12" s="14">
        <v>2</v>
      </c>
      <c r="B12" s="14" t="s">
        <v>84</v>
      </c>
      <c r="C12" s="14">
        <v>21</v>
      </c>
      <c r="D12" s="14" t="s">
        <v>100</v>
      </c>
      <c r="E12" s="16"/>
      <c r="F12" s="14" t="s">
        <v>86</v>
      </c>
      <c r="G12" s="14" t="s">
        <v>819</v>
      </c>
      <c r="H12" s="14" t="s">
        <v>820</v>
      </c>
      <c r="I12" s="14" t="s">
        <v>812</v>
      </c>
      <c r="J12" s="14" t="s">
        <v>536</v>
      </c>
      <c r="K12" s="18">
        <v>46052</v>
      </c>
      <c r="L12" s="14" t="s">
        <v>537</v>
      </c>
      <c r="M12" s="18">
        <v>46264</v>
      </c>
      <c r="N12" s="16" t="s">
        <v>564</v>
      </c>
      <c r="P12" s="16" t="s">
        <v>821</v>
      </c>
      <c r="Q12" s="35">
        <v>46264.166666666664</v>
      </c>
      <c r="R12" s="16"/>
      <c r="V12" s="57" t="s">
        <v>821</v>
      </c>
      <c r="W12" s="56">
        <f>UN80_Action_Plan__2_1[[#This Row],[Milestone Final Deadline]]</f>
        <v>46264</v>
      </c>
      <c r="X12" s="22"/>
      <c r="Y12" s="22"/>
      <c r="Z12" s="14" t="s">
        <v>786</v>
      </c>
      <c r="AA12" s="14">
        <v>2</v>
      </c>
      <c r="AB12" s="14">
        <v>21</v>
      </c>
      <c r="AC12" s="14">
        <f>IF(UN80_Action_Plan__2_1[[#This Row],[Action No]]=Table10[[#This Row],[Action No]],1,0)</f>
        <v>1</v>
      </c>
      <c r="AD12" s="14">
        <f t="shared" si="0"/>
        <v>1</v>
      </c>
      <c r="AI12" s="42" t="s">
        <v>822</v>
      </c>
      <c r="AJ12" s="14" t="s">
        <v>1377</v>
      </c>
      <c r="AK12" s="15" t="s">
        <v>1378</v>
      </c>
      <c r="AL12" s="14" t="s">
        <v>823</v>
      </c>
      <c r="AM12" s="14">
        <v>2</v>
      </c>
      <c r="AN12" s="14">
        <v>21</v>
      </c>
      <c r="AO12" s="14">
        <f>IF(UN80_Action_Plan__2_1[[#This Row],[Action No]]=Table8[[#This Row],[Action No]],1,0)</f>
        <v>1</v>
      </c>
      <c r="AP12" s="14"/>
      <c r="AQ12" s="14"/>
      <c r="AR12" s="14"/>
      <c r="AS12" s="14">
        <v>2</v>
      </c>
      <c r="AT12" s="14">
        <v>21</v>
      </c>
      <c r="AU12" s="14">
        <f>IF(UN80_Action_Plan__2_1[[#This Row],[Action No]]=Table9[[#This Row],[Action No]],1,0)</f>
        <v>1</v>
      </c>
    </row>
    <row r="13" spans="1:47" ht="89.5" customHeight="1">
      <c r="A13" s="14">
        <v>2</v>
      </c>
      <c r="B13" s="14" t="s">
        <v>84</v>
      </c>
      <c r="C13" s="14">
        <v>22</v>
      </c>
      <c r="D13" s="14" t="s">
        <v>103</v>
      </c>
      <c r="E13" s="16"/>
      <c r="F13" s="14" t="s">
        <v>86</v>
      </c>
      <c r="G13" s="14" t="s">
        <v>824</v>
      </c>
      <c r="H13" s="14" t="s">
        <v>825</v>
      </c>
      <c r="I13" s="14" t="s">
        <v>826</v>
      </c>
      <c r="J13" s="14" t="s">
        <v>541</v>
      </c>
      <c r="K13" s="18">
        <v>46052</v>
      </c>
      <c r="L13" s="14" t="s">
        <v>827</v>
      </c>
      <c r="M13" s="18">
        <v>46264</v>
      </c>
      <c r="N13" s="16" t="s">
        <v>564</v>
      </c>
      <c r="P13" s="16" t="s">
        <v>828</v>
      </c>
      <c r="Q13" s="35">
        <f>UN80_Action_Plan__2_1[[#This Row],[Milestone Final Deadline]]</f>
        <v>46264</v>
      </c>
      <c r="R13" s="16"/>
      <c r="V13" s="57" t="s">
        <v>829</v>
      </c>
      <c r="W13" s="56">
        <f>UN80_Action_Plan__2_1[[#This Row],[Milestone 1 Deadline]]</f>
        <v>46052</v>
      </c>
      <c r="X13" s="22"/>
      <c r="Y13" s="22"/>
      <c r="Z13" s="14" t="s">
        <v>786</v>
      </c>
      <c r="AA13" s="14">
        <v>2</v>
      </c>
      <c r="AB13" s="14">
        <v>22</v>
      </c>
      <c r="AC13" s="14">
        <f>IF(UN80_Action_Plan__2_1[[#This Row],[Action No]]=Table10[[#This Row],[Action No]],1,0)</f>
        <v>1</v>
      </c>
      <c r="AD13" s="14" t="str">
        <f t="shared" si="0"/>
        <v>Upcoming milestone mismatch, Delivery date mismatch</v>
      </c>
      <c r="AI13" s="42" t="s">
        <v>830</v>
      </c>
      <c r="AJ13" s="14" t="s">
        <v>1379</v>
      </c>
      <c r="AK13" s="15" t="s">
        <v>1380</v>
      </c>
      <c r="AL13" s="14" t="s">
        <v>831</v>
      </c>
      <c r="AM13" s="14">
        <v>2</v>
      </c>
      <c r="AN13" s="14">
        <v>22</v>
      </c>
      <c r="AO13" s="14">
        <f>IF(UN80_Action_Plan__2_1[[#This Row],[Action No]]=Table8[[#This Row],[Action No]],1,0)</f>
        <v>1</v>
      </c>
      <c r="AP13" s="14"/>
      <c r="AQ13" s="14"/>
      <c r="AR13" s="14"/>
      <c r="AS13" s="14">
        <v>2</v>
      </c>
      <c r="AT13" s="14">
        <v>22</v>
      </c>
      <c r="AU13" s="14">
        <f>IF(UN80_Action_Plan__2_1[[#This Row],[Action No]]=Table9[[#This Row],[Action No]],1,0)</f>
        <v>1</v>
      </c>
    </row>
    <row r="14" spans="1:47" ht="89.5" customHeight="1">
      <c r="A14" s="14">
        <v>2</v>
      </c>
      <c r="B14" s="14" t="s">
        <v>84</v>
      </c>
      <c r="C14" s="14">
        <v>23</v>
      </c>
      <c r="D14" s="14" t="s">
        <v>106</v>
      </c>
      <c r="E14" s="16"/>
      <c r="F14" s="14" t="s">
        <v>86</v>
      </c>
      <c r="G14" s="14" t="s">
        <v>832</v>
      </c>
      <c r="H14" s="14" t="s">
        <v>833</v>
      </c>
      <c r="I14" s="14" t="s">
        <v>834</v>
      </c>
      <c r="J14" s="14" t="s">
        <v>835</v>
      </c>
      <c r="K14" s="18">
        <v>46052</v>
      </c>
      <c r="L14" s="14" t="s">
        <v>836</v>
      </c>
      <c r="M14" s="18">
        <v>46264</v>
      </c>
      <c r="N14" s="16" t="s">
        <v>564</v>
      </c>
      <c r="P14" s="16" t="s">
        <v>837</v>
      </c>
      <c r="Q14" s="35">
        <v>46264.166666666664</v>
      </c>
      <c r="R14" s="16"/>
      <c r="V14" s="57" t="s">
        <v>837</v>
      </c>
      <c r="W14" s="56">
        <f>UN80_Action_Plan__2_1[[#This Row],[Milestone Final Deadline]]</f>
        <v>46264</v>
      </c>
      <c r="X14" s="22"/>
      <c r="Y14" s="22"/>
      <c r="Z14" s="14" t="s">
        <v>786</v>
      </c>
      <c r="AA14" s="14">
        <v>2</v>
      </c>
      <c r="AB14" s="14">
        <v>23</v>
      </c>
      <c r="AC14" s="14">
        <f>IF(UN80_Action_Plan__2_1[[#This Row],[Action No]]=Table10[[#This Row],[Action No]],1,0)</f>
        <v>1</v>
      </c>
      <c r="AD14" s="14">
        <f t="shared" si="0"/>
        <v>1</v>
      </c>
      <c r="AI14" s="42" t="s">
        <v>838</v>
      </c>
      <c r="AJ14" s="14" t="s">
        <v>1381</v>
      </c>
      <c r="AK14" s="15" t="s">
        <v>1382</v>
      </c>
      <c r="AL14" s="14" t="s">
        <v>839</v>
      </c>
      <c r="AM14" s="14">
        <v>2</v>
      </c>
      <c r="AN14" s="14">
        <v>23</v>
      </c>
      <c r="AO14" s="14">
        <f>IF(UN80_Action_Plan__2_1[[#This Row],[Action No]]=Table8[[#This Row],[Action No]],1,0)</f>
        <v>1</v>
      </c>
      <c r="AP14" s="14"/>
      <c r="AQ14" s="14"/>
      <c r="AR14" s="14"/>
      <c r="AS14" s="14">
        <v>2</v>
      </c>
      <c r="AT14" s="14">
        <v>23</v>
      </c>
      <c r="AU14" s="14">
        <f>IF(UN80_Action_Plan__2_1[[#This Row],[Action No]]=Table9[[#This Row],[Action No]],1,0)</f>
        <v>1</v>
      </c>
    </row>
    <row r="15" spans="1:47" ht="89.5" customHeight="1">
      <c r="A15" s="14">
        <v>2</v>
      </c>
      <c r="B15" s="14" t="s">
        <v>84</v>
      </c>
      <c r="C15" s="14">
        <v>24</v>
      </c>
      <c r="D15" s="14" t="s">
        <v>109</v>
      </c>
      <c r="E15" s="16"/>
      <c r="F15" s="14" t="s">
        <v>86</v>
      </c>
      <c r="G15" s="14" t="s">
        <v>840</v>
      </c>
      <c r="H15" s="14" t="s">
        <v>841</v>
      </c>
      <c r="I15" s="14" t="s">
        <v>842</v>
      </c>
      <c r="J15" s="14" t="s">
        <v>843</v>
      </c>
      <c r="K15" s="18">
        <v>46052</v>
      </c>
      <c r="L15" s="14" t="s">
        <v>844</v>
      </c>
      <c r="M15" s="18">
        <v>46264</v>
      </c>
      <c r="N15" s="16" t="s">
        <v>564</v>
      </c>
      <c r="P15" s="16" t="s">
        <v>845</v>
      </c>
      <c r="Q15" s="35">
        <v>46264.166666666664</v>
      </c>
      <c r="R15" s="16"/>
      <c r="V15" s="57" t="s">
        <v>845</v>
      </c>
      <c r="W15" s="56">
        <f>UN80_Action_Plan__2_1[[#This Row],[Milestone Final Deadline]]</f>
        <v>46264</v>
      </c>
      <c r="X15" s="22"/>
      <c r="Y15" s="22"/>
      <c r="Z15" s="14" t="s">
        <v>786</v>
      </c>
      <c r="AA15" s="14">
        <v>2</v>
      </c>
      <c r="AB15" s="14">
        <v>24</v>
      </c>
      <c r="AC15" s="14">
        <f>IF(UN80_Action_Plan__2_1[[#This Row],[Action No]]=Table10[[#This Row],[Action No]],1,0)</f>
        <v>1</v>
      </c>
      <c r="AD15" s="14">
        <f t="shared" si="0"/>
        <v>1</v>
      </c>
      <c r="AI15" s="15" t="s">
        <v>846</v>
      </c>
      <c r="AJ15" s="14" t="s">
        <v>1383</v>
      </c>
      <c r="AK15" s="15" t="s">
        <v>1384</v>
      </c>
      <c r="AL15" s="14" t="s">
        <v>847</v>
      </c>
      <c r="AM15" s="14">
        <v>2</v>
      </c>
      <c r="AN15" s="14">
        <v>24</v>
      </c>
      <c r="AO15" s="14">
        <f>IF(UN80_Action_Plan__2_1[[#This Row],[Action No]]=Table8[[#This Row],[Action No]],1,0)</f>
        <v>1</v>
      </c>
      <c r="AP15" s="14"/>
      <c r="AQ15" s="14"/>
      <c r="AR15" s="14"/>
      <c r="AS15" s="14">
        <v>2</v>
      </c>
      <c r="AT15" s="14">
        <v>24</v>
      </c>
      <c r="AU15" s="14">
        <f>IF(UN80_Action_Plan__2_1[[#This Row],[Action No]]=Table9[[#This Row],[Action No]],1,0)</f>
        <v>1</v>
      </c>
    </row>
    <row r="16" spans="1:47" ht="89.5" customHeight="1">
      <c r="A16" s="14">
        <v>2</v>
      </c>
      <c r="B16" s="14" t="s">
        <v>84</v>
      </c>
      <c r="C16" s="14">
        <v>25</v>
      </c>
      <c r="D16" s="14" t="s">
        <v>112</v>
      </c>
      <c r="E16" s="16"/>
      <c r="F16" s="14" t="s">
        <v>86</v>
      </c>
      <c r="G16" s="14" t="s">
        <v>848</v>
      </c>
      <c r="H16" s="14" t="s">
        <v>849</v>
      </c>
      <c r="I16" s="14" t="s">
        <v>850</v>
      </c>
      <c r="J16" s="14" t="s">
        <v>851</v>
      </c>
      <c r="K16" s="18">
        <v>46052</v>
      </c>
      <c r="L16" s="14" t="s">
        <v>852</v>
      </c>
      <c r="M16" s="18">
        <v>46264</v>
      </c>
      <c r="N16" s="16" t="s">
        <v>564</v>
      </c>
      <c r="P16" s="16" t="s">
        <v>853</v>
      </c>
      <c r="Q16" s="35">
        <v>46264.166666666664</v>
      </c>
      <c r="R16" s="16"/>
      <c r="V16" s="57" t="s">
        <v>853</v>
      </c>
      <c r="W16" s="56">
        <f>UN80_Action_Plan__2_1[[#This Row],[Milestone Final Deadline]]</f>
        <v>46264</v>
      </c>
      <c r="X16" s="22"/>
      <c r="Y16" s="22"/>
      <c r="Z16" s="14" t="s">
        <v>786</v>
      </c>
      <c r="AA16" s="14">
        <v>2</v>
      </c>
      <c r="AB16" s="14">
        <v>25</v>
      </c>
      <c r="AC16" s="14">
        <f>IF(UN80_Action_Plan__2_1[[#This Row],[Action No]]=Table10[[#This Row],[Action No]],1,0)</f>
        <v>1</v>
      </c>
      <c r="AD16" s="14">
        <f t="shared" si="0"/>
        <v>1</v>
      </c>
      <c r="AI16" s="15" t="s">
        <v>846</v>
      </c>
      <c r="AJ16" s="14" t="s">
        <v>1385</v>
      </c>
      <c r="AK16" s="15" t="s">
        <v>1380</v>
      </c>
      <c r="AL16" s="14" t="s">
        <v>854</v>
      </c>
      <c r="AM16" s="14">
        <v>2</v>
      </c>
      <c r="AN16" s="14">
        <v>25</v>
      </c>
      <c r="AO16" s="14">
        <f>IF(UN80_Action_Plan__2_1[[#This Row],[Action No]]=Table8[[#This Row],[Action No]],1,0)</f>
        <v>1</v>
      </c>
      <c r="AP16" s="14"/>
      <c r="AQ16" s="14"/>
      <c r="AR16" s="14"/>
      <c r="AS16" s="14">
        <v>2</v>
      </c>
      <c r="AT16" s="14">
        <v>25</v>
      </c>
      <c r="AU16" s="14">
        <f>IF(UN80_Action_Plan__2_1[[#This Row],[Action No]]=Table9[[#This Row],[Action No]],1,0)</f>
        <v>1</v>
      </c>
    </row>
    <row r="17" spans="1:47" ht="89.5" customHeight="1">
      <c r="A17" s="14">
        <v>3</v>
      </c>
      <c r="B17" s="14" t="s">
        <v>115</v>
      </c>
      <c r="C17" s="14">
        <v>26</v>
      </c>
      <c r="D17" s="14" t="s">
        <v>116</v>
      </c>
      <c r="E17" s="16"/>
      <c r="F17" s="14" t="s">
        <v>855</v>
      </c>
      <c r="G17" s="14" t="s">
        <v>856</v>
      </c>
      <c r="H17" s="14" t="s">
        <v>561</v>
      </c>
      <c r="I17" s="14" t="s">
        <v>857</v>
      </c>
      <c r="J17" s="14" t="s">
        <v>858</v>
      </c>
      <c r="K17" s="18">
        <v>46040</v>
      </c>
      <c r="L17" s="14" t="s">
        <v>121</v>
      </c>
      <c r="M17" s="18">
        <v>46264</v>
      </c>
      <c r="N17" s="16" t="s">
        <v>564</v>
      </c>
      <c r="P17" s="16" t="s">
        <v>859</v>
      </c>
      <c r="Q17" s="35">
        <v>46081.208333333336</v>
      </c>
      <c r="R17" s="16"/>
      <c r="V17" s="76" t="s">
        <v>859</v>
      </c>
      <c r="W17" s="56">
        <v>46081</v>
      </c>
      <c r="X17" s="22"/>
      <c r="Y17" s="22"/>
      <c r="Z17" s="14" t="s">
        <v>786</v>
      </c>
      <c r="AA17" s="14">
        <v>3</v>
      </c>
      <c r="AB17" s="14">
        <v>26</v>
      </c>
      <c r="AC17" s="14">
        <f>IF(UN80_Action_Plan__2_1[[#This Row],[Action No]]=Table10[[#This Row],[Action No]],1,0)</f>
        <v>1</v>
      </c>
      <c r="AD17" s="14">
        <f t="shared" si="0"/>
        <v>1</v>
      </c>
      <c r="AH17" s="19" t="s">
        <v>860</v>
      </c>
      <c r="AI17" s="19"/>
      <c r="AJ17" s="19" t="s">
        <v>1386</v>
      </c>
      <c r="AK17" s="80" t="s">
        <v>1387</v>
      </c>
      <c r="AL17" s="19" t="s">
        <v>861</v>
      </c>
      <c r="AM17" s="14">
        <v>3</v>
      </c>
      <c r="AN17" s="14">
        <v>26</v>
      </c>
      <c r="AO17" s="14">
        <f>IF(UN80_Action_Plan__2_1[[#This Row],[Action No]]=Table8[[#This Row],[Action No]],1,0)</f>
        <v>1</v>
      </c>
      <c r="AP17" s="14"/>
      <c r="AQ17" s="14"/>
      <c r="AR17" s="14" t="s">
        <v>788</v>
      </c>
      <c r="AS17" s="14">
        <v>3</v>
      </c>
      <c r="AT17" s="14">
        <v>26</v>
      </c>
      <c r="AU17" s="14">
        <f>IF(UN80_Action_Plan__2_1[[#This Row],[Action No]]=Table9[[#This Row],[Action No]],1,0)</f>
        <v>1</v>
      </c>
    </row>
    <row r="18" spans="1:47" ht="89.5" customHeight="1">
      <c r="A18" s="14">
        <v>4</v>
      </c>
      <c r="B18" s="14" t="s">
        <v>125</v>
      </c>
      <c r="C18" s="14">
        <v>27</v>
      </c>
      <c r="D18" s="14" t="s">
        <v>126</v>
      </c>
      <c r="E18" s="16"/>
      <c r="F18" s="14" t="s">
        <v>862</v>
      </c>
      <c r="G18" s="14" t="s">
        <v>565</v>
      </c>
      <c r="H18" s="14" t="s">
        <v>566</v>
      </c>
      <c r="I18" s="14" t="s">
        <v>863</v>
      </c>
      <c r="J18" s="14" t="s">
        <v>568</v>
      </c>
      <c r="K18" s="18">
        <v>46052</v>
      </c>
      <c r="L18" s="14" t="s">
        <v>131</v>
      </c>
      <c r="M18" s="18">
        <v>46233</v>
      </c>
      <c r="N18" s="16" t="s">
        <v>564</v>
      </c>
      <c r="P18" s="16" t="s">
        <v>864</v>
      </c>
      <c r="Q18" s="35">
        <v>46081.208333333336</v>
      </c>
      <c r="R18" s="16"/>
      <c r="V18" s="57" t="s">
        <v>864</v>
      </c>
      <c r="W18" s="56">
        <v>46081</v>
      </c>
      <c r="X18" s="22"/>
      <c r="Y18" s="22"/>
      <c r="Z18" s="14" t="s">
        <v>786</v>
      </c>
      <c r="AA18" s="14">
        <v>4</v>
      </c>
      <c r="AB18" s="14">
        <v>27</v>
      </c>
      <c r="AC18" s="14">
        <f>IF(UN80_Action_Plan__2_1[[#This Row],[Action No]]=Table10[[#This Row],[Action No]],1,0)</f>
        <v>1</v>
      </c>
      <c r="AD18" s="14">
        <f t="shared" si="0"/>
        <v>1</v>
      </c>
      <c r="AH18" s="19" t="s">
        <v>865</v>
      </c>
      <c r="AI18" s="19"/>
      <c r="AJ18" s="19" t="s">
        <v>1388</v>
      </c>
      <c r="AK18" s="80" t="s">
        <v>1389</v>
      </c>
      <c r="AL18" s="19" t="s">
        <v>866</v>
      </c>
      <c r="AM18" s="14">
        <v>4</v>
      </c>
      <c r="AN18" s="14">
        <v>27</v>
      </c>
      <c r="AO18" s="14">
        <f>IF(UN80_Action_Plan__2_1[[#This Row],[Action No]]=Table8[[#This Row],[Action No]],1,0)</f>
        <v>1</v>
      </c>
      <c r="AP18" s="14"/>
      <c r="AQ18" s="14"/>
      <c r="AR18" s="14"/>
      <c r="AS18" s="14">
        <v>4</v>
      </c>
      <c r="AT18" s="14">
        <v>27</v>
      </c>
      <c r="AU18" s="14">
        <f>IF(UN80_Action_Plan__2_1[[#This Row],[Action No]]=Table9[[#This Row],[Action No]],1,0)</f>
        <v>1</v>
      </c>
    </row>
    <row r="19" spans="1:47" ht="89.5" customHeight="1">
      <c r="A19" s="14">
        <v>4</v>
      </c>
      <c r="B19" s="14" t="s">
        <v>125</v>
      </c>
      <c r="C19" s="14">
        <v>28</v>
      </c>
      <c r="D19" s="14" t="s">
        <v>135</v>
      </c>
      <c r="E19" s="16"/>
      <c r="F19" s="14" t="s">
        <v>862</v>
      </c>
      <c r="G19" s="14" t="s">
        <v>565</v>
      </c>
      <c r="H19" s="14" t="s">
        <v>569</v>
      </c>
      <c r="I19" s="14" t="s">
        <v>863</v>
      </c>
      <c r="J19" s="14" t="s">
        <v>570</v>
      </c>
      <c r="K19" s="18">
        <v>46052</v>
      </c>
      <c r="L19" s="14" t="s">
        <v>571</v>
      </c>
      <c r="M19" s="18">
        <v>46233</v>
      </c>
      <c r="N19" s="16" t="s">
        <v>564</v>
      </c>
      <c r="P19" s="16" t="s">
        <v>867</v>
      </c>
      <c r="Q19" s="35">
        <v>46081.208333333336</v>
      </c>
      <c r="R19" s="16"/>
      <c r="V19" s="14" t="s">
        <v>867</v>
      </c>
      <c r="W19" s="56">
        <v>46081</v>
      </c>
      <c r="X19" s="22"/>
      <c r="Y19" s="54"/>
      <c r="Z19" s="14" t="s">
        <v>786</v>
      </c>
      <c r="AA19" s="14">
        <v>4</v>
      </c>
      <c r="AB19" s="14">
        <v>28</v>
      </c>
      <c r="AC19" s="14">
        <f>IF(UN80_Action_Plan__2_1[[#This Row],[Action No]]=Table10[[#This Row],[Action No]],1,0)</f>
        <v>1</v>
      </c>
      <c r="AD19" s="14">
        <f t="shared" si="0"/>
        <v>1</v>
      </c>
      <c r="AJ19" s="19" t="s">
        <v>1390</v>
      </c>
      <c r="AK19" s="80" t="s">
        <v>1391</v>
      </c>
      <c r="AL19" s="14" t="s">
        <v>868</v>
      </c>
      <c r="AM19" s="14">
        <v>4</v>
      </c>
      <c r="AN19" s="14">
        <v>28</v>
      </c>
      <c r="AO19" s="14">
        <f>IF(UN80_Action_Plan__2_1[[#This Row],[Action No]]=Table8[[#This Row],[Action No]],1,0)</f>
        <v>1</v>
      </c>
      <c r="AP19" s="14"/>
      <c r="AQ19" s="14"/>
      <c r="AR19" s="14"/>
      <c r="AS19" s="14">
        <v>4</v>
      </c>
      <c r="AT19" s="14">
        <v>28</v>
      </c>
      <c r="AU19" s="14">
        <f>IF(UN80_Action_Plan__2_1[[#This Row],[Action No]]=Table9[[#This Row],[Action No]],1,0)</f>
        <v>1</v>
      </c>
    </row>
    <row r="20" spans="1:47" ht="89.5" customHeight="1">
      <c r="A20" s="14">
        <v>5</v>
      </c>
      <c r="B20" s="14" t="s">
        <v>143</v>
      </c>
      <c r="C20" s="14">
        <v>39</v>
      </c>
      <c r="D20" s="14" t="s">
        <v>144</v>
      </c>
      <c r="E20" s="16"/>
      <c r="F20" s="14" t="s">
        <v>145</v>
      </c>
      <c r="G20" s="14" t="s">
        <v>572</v>
      </c>
      <c r="H20" s="14" t="s">
        <v>573</v>
      </c>
      <c r="I20" s="14" t="s">
        <v>869</v>
      </c>
      <c r="J20" s="14" t="s">
        <v>575</v>
      </c>
      <c r="K20" s="18">
        <v>46053</v>
      </c>
      <c r="L20" s="14" t="s">
        <v>870</v>
      </c>
      <c r="M20" s="18">
        <v>46263</v>
      </c>
      <c r="N20" s="16" t="s">
        <v>564</v>
      </c>
      <c r="P20" s="16" t="s">
        <v>871</v>
      </c>
      <c r="Q20" s="35">
        <v>46112.166666666664</v>
      </c>
      <c r="R20" s="16"/>
      <c r="V20" s="14" t="s">
        <v>871</v>
      </c>
      <c r="W20" s="56">
        <v>46112</v>
      </c>
      <c r="X20" s="26"/>
      <c r="Y20" s="26"/>
      <c r="Z20" s="14" t="s">
        <v>786</v>
      </c>
      <c r="AA20" s="14">
        <v>5</v>
      </c>
      <c r="AB20" s="14">
        <v>39</v>
      </c>
      <c r="AC20" s="14">
        <f>IF(UN80_Action_Plan__2_1[[#This Row],[Action No]]=Table10[[#This Row],[Action No]],1,0)</f>
        <v>1</v>
      </c>
      <c r="AD20" s="14">
        <f t="shared" si="0"/>
        <v>1</v>
      </c>
      <c r="AH20" s="14" t="s">
        <v>872</v>
      </c>
      <c r="AJ20" s="14" t="s">
        <v>1392</v>
      </c>
      <c r="AK20" s="15" t="s">
        <v>1393</v>
      </c>
      <c r="AL20" s="14" t="s">
        <v>873</v>
      </c>
      <c r="AM20" s="14">
        <v>5</v>
      </c>
      <c r="AN20" s="14">
        <v>39</v>
      </c>
      <c r="AO20" s="14">
        <f>IF(UN80_Action_Plan__2_1[[#This Row],[Action No]]=Table8[[#This Row],[Action No]],1,0)</f>
        <v>1</v>
      </c>
      <c r="AP20" s="14"/>
      <c r="AQ20" s="14"/>
      <c r="AR20" s="14" t="s">
        <v>788</v>
      </c>
      <c r="AS20" s="14">
        <v>5</v>
      </c>
      <c r="AT20" s="14">
        <v>39</v>
      </c>
      <c r="AU20" s="14">
        <f>IF(UN80_Action_Plan__2_1[[#This Row],[Action No]]=Table9[[#This Row],[Action No]],1,0)</f>
        <v>1</v>
      </c>
    </row>
    <row r="21" spans="1:47" ht="89.5" customHeight="1">
      <c r="A21" s="14">
        <v>5</v>
      </c>
      <c r="B21" s="14" t="s">
        <v>143</v>
      </c>
      <c r="C21" s="14">
        <v>40</v>
      </c>
      <c r="D21" s="14" t="s">
        <v>152</v>
      </c>
      <c r="E21" s="16"/>
      <c r="F21" s="14" t="s">
        <v>145</v>
      </c>
      <c r="G21" s="14" t="s">
        <v>577</v>
      </c>
      <c r="H21" s="14" t="s">
        <v>578</v>
      </c>
      <c r="I21" s="14" t="s">
        <v>874</v>
      </c>
      <c r="J21" s="14" t="s">
        <v>875</v>
      </c>
      <c r="K21" s="18">
        <v>46052</v>
      </c>
      <c r="L21" s="14" t="s">
        <v>876</v>
      </c>
      <c r="M21" s="18">
        <v>46263</v>
      </c>
      <c r="N21" s="16" t="s">
        <v>564</v>
      </c>
      <c r="P21" s="16" t="s">
        <v>877</v>
      </c>
      <c r="Q21" s="35">
        <v>46112.166666666664</v>
      </c>
      <c r="R21" s="16"/>
      <c r="V21" s="76" t="s">
        <v>877</v>
      </c>
      <c r="W21" s="56">
        <v>46112</v>
      </c>
      <c r="X21" s="22"/>
      <c r="Y21" s="23"/>
      <c r="Z21" s="14" t="s">
        <v>786</v>
      </c>
      <c r="AA21" s="14">
        <v>5</v>
      </c>
      <c r="AB21" s="14">
        <v>40</v>
      </c>
      <c r="AC21" s="14">
        <f>IF(UN80_Action_Plan__2_1[[#This Row],[Action No]]=Table10[[#This Row],[Action No]],1,0)</f>
        <v>1</v>
      </c>
      <c r="AD21" s="14">
        <f t="shared" si="0"/>
        <v>1</v>
      </c>
      <c r="AJ21" s="14" t="s">
        <v>1394</v>
      </c>
      <c r="AK21" s="15" t="s">
        <v>1395</v>
      </c>
      <c r="AL21" s="14" t="s">
        <v>878</v>
      </c>
      <c r="AM21" s="14">
        <v>5</v>
      </c>
      <c r="AN21" s="14">
        <v>40</v>
      </c>
      <c r="AO21" s="14">
        <f>IF(UN80_Action_Plan__2_1[[#This Row],[Action No]]=Table8[[#This Row],[Action No]],1,0)</f>
        <v>1</v>
      </c>
      <c r="AP21" s="14"/>
      <c r="AQ21" s="14"/>
      <c r="AR21" s="14" t="s">
        <v>788</v>
      </c>
      <c r="AS21" s="14">
        <v>5</v>
      </c>
      <c r="AT21" s="14">
        <v>40</v>
      </c>
      <c r="AU21" s="14">
        <f>IF(UN80_Action_Plan__2_1[[#This Row],[Action No]]=Table9[[#This Row],[Action No]],1,0)</f>
        <v>1</v>
      </c>
    </row>
    <row r="22" spans="1:47" ht="89.5" customHeight="1">
      <c r="A22" s="14">
        <v>6</v>
      </c>
      <c r="B22" s="14" t="s">
        <v>159</v>
      </c>
      <c r="C22" s="14">
        <v>36</v>
      </c>
      <c r="D22" s="14" t="s">
        <v>160</v>
      </c>
      <c r="E22" s="16"/>
      <c r="F22" s="14" t="s">
        <v>145</v>
      </c>
      <c r="G22" s="14" t="s">
        <v>582</v>
      </c>
      <c r="H22" s="14" t="s">
        <v>578</v>
      </c>
      <c r="I22" s="14" t="s">
        <v>879</v>
      </c>
      <c r="J22" s="14" t="s">
        <v>584</v>
      </c>
      <c r="K22" s="18">
        <v>46053</v>
      </c>
      <c r="L22" s="14" t="s">
        <v>880</v>
      </c>
      <c r="M22" s="18">
        <v>46263</v>
      </c>
      <c r="N22" s="16" t="s">
        <v>564</v>
      </c>
      <c r="P22" s="16" t="s">
        <v>881</v>
      </c>
      <c r="Q22" s="35">
        <v>46112.166666666664</v>
      </c>
      <c r="R22" s="16"/>
      <c r="V22" s="76" t="s">
        <v>881</v>
      </c>
      <c r="W22" s="56">
        <v>46112</v>
      </c>
      <c r="X22" s="26"/>
      <c r="Y22" s="26"/>
      <c r="Z22" s="14" t="s">
        <v>786</v>
      </c>
      <c r="AA22" s="14">
        <v>6</v>
      </c>
      <c r="AB22" s="14">
        <v>36</v>
      </c>
      <c r="AC22" s="14">
        <f>IF(UN80_Action_Plan__2_1[[#This Row],[Action No]]=Table10[[#This Row],[Action No]],1,0)</f>
        <v>1</v>
      </c>
      <c r="AD22" s="14">
        <f t="shared" si="0"/>
        <v>1</v>
      </c>
      <c r="AH22" s="14" t="s">
        <v>882</v>
      </c>
      <c r="AJ22" s="14" t="s">
        <v>1396</v>
      </c>
      <c r="AK22" s="15" t="s">
        <v>1397</v>
      </c>
      <c r="AL22" s="14" t="s">
        <v>883</v>
      </c>
      <c r="AM22" s="14">
        <v>6</v>
      </c>
      <c r="AN22" s="14">
        <v>36</v>
      </c>
      <c r="AO22" s="14">
        <f>IF(UN80_Action_Plan__2_1[[#This Row],[Action No]]=Table8[[#This Row],[Action No]],1,0)</f>
        <v>1</v>
      </c>
      <c r="AP22" s="14"/>
      <c r="AQ22" s="14"/>
      <c r="AR22" s="14" t="s">
        <v>788</v>
      </c>
      <c r="AS22" s="14">
        <v>6</v>
      </c>
      <c r="AT22" s="14">
        <v>36</v>
      </c>
      <c r="AU22" s="14">
        <f>IF(UN80_Action_Plan__2_1[[#This Row],[Action No]]=Table9[[#This Row],[Action No]],1,0)</f>
        <v>1</v>
      </c>
    </row>
    <row r="23" spans="1:47" ht="89.5" customHeight="1">
      <c r="A23" s="14">
        <v>6</v>
      </c>
      <c r="B23" s="14" t="s">
        <v>159</v>
      </c>
      <c r="C23" s="14">
        <v>37</v>
      </c>
      <c r="D23" s="14" t="s">
        <v>166</v>
      </c>
      <c r="E23" s="16"/>
      <c r="F23" s="14" t="s">
        <v>145</v>
      </c>
      <c r="G23" s="14" t="s">
        <v>586</v>
      </c>
      <c r="H23" s="14" t="s">
        <v>587</v>
      </c>
      <c r="I23" s="14" t="s">
        <v>884</v>
      </c>
      <c r="J23" s="14" t="s">
        <v>589</v>
      </c>
      <c r="K23" s="18">
        <v>46052</v>
      </c>
      <c r="L23" s="14" t="s">
        <v>590</v>
      </c>
      <c r="M23" s="18">
        <v>46170</v>
      </c>
      <c r="N23" s="16" t="s">
        <v>564</v>
      </c>
      <c r="P23" s="16" t="s">
        <v>885</v>
      </c>
      <c r="Q23" s="35">
        <v>46112.166666666664</v>
      </c>
      <c r="R23" s="16"/>
      <c r="V23" s="58" t="s">
        <v>885</v>
      </c>
      <c r="W23" s="56">
        <v>46112</v>
      </c>
      <c r="X23" s="22"/>
      <c r="Y23" s="54"/>
      <c r="Z23" s="14" t="s">
        <v>786</v>
      </c>
      <c r="AA23" s="14">
        <v>6</v>
      </c>
      <c r="AB23" s="14">
        <v>37</v>
      </c>
      <c r="AC23" s="14">
        <f>IF(UN80_Action_Plan__2_1[[#This Row],[Action No]]=Table10[[#This Row],[Action No]],1,0)</f>
        <v>1</v>
      </c>
      <c r="AD23" s="14">
        <f t="shared" si="0"/>
        <v>1</v>
      </c>
      <c r="AJ23" s="14" t="s">
        <v>1398</v>
      </c>
      <c r="AK23" s="15" t="s">
        <v>1399</v>
      </c>
      <c r="AL23" s="14" t="s">
        <v>886</v>
      </c>
      <c r="AM23" s="14">
        <v>6</v>
      </c>
      <c r="AN23" s="14">
        <v>37</v>
      </c>
      <c r="AO23" s="14">
        <f>IF(UN80_Action_Plan__2_1[[#This Row],[Action No]]=Table8[[#This Row],[Action No]],1,0)</f>
        <v>1</v>
      </c>
      <c r="AP23" s="14"/>
      <c r="AQ23" s="14"/>
      <c r="AR23" s="14" t="s">
        <v>788</v>
      </c>
      <c r="AS23" s="14">
        <v>6</v>
      </c>
      <c r="AT23" s="14">
        <v>37</v>
      </c>
      <c r="AU23" s="14">
        <f>IF(UN80_Action_Plan__2_1[[#This Row],[Action No]]=Table9[[#This Row],[Action No]],1,0)</f>
        <v>1</v>
      </c>
    </row>
    <row r="24" spans="1:47" ht="89.5" customHeight="1">
      <c r="A24" s="14">
        <v>7</v>
      </c>
      <c r="B24" s="14" t="s">
        <v>173</v>
      </c>
      <c r="E24" s="16"/>
      <c r="F24" s="14" t="s">
        <v>887</v>
      </c>
      <c r="G24" s="14" t="s">
        <v>591</v>
      </c>
      <c r="H24" s="14" t="s">
        <v>592</v>
      </c>
      <c r="I24" s="14" t="s">
        <v>888</v>
      </c>
      <c r="J24" s="14" t="s">
        <v>594</v>
      </c>
      <c r="K24" s="18">
        <v>46052</v>
      </c>
      <c r="L24" s="14" t="s">
        <v>595</v>
      </c>
      <c r="M24" s="18">
        <v>46283</v>
      </c>
      <c r="N24" s="16" t="s">
        <v>564</v>
      </c>
      <c r="P24" s="16" t="s">
        <v>889</v>
      </c>
      <c r="Q24" s="35">
        <v>46052.208333333336</v>
      </c>
      <c r="R24" s="16"/>
      <c r="V24" s="57" t="s">
        <v>889</v>
      </c>
      <c r="W24" s="56">
        <f>UN80_Action_Plan__2_1[[#This Row],[Milestone 1 Deadline]]</f>
        <v>46052</v>
      </c>
      <c r="X24" s="22"/>
      <c r="Y24" s="22"/>
      <c r="Z24" s="14" t="s">
        <v>786</v>
      </c>
      <c r="AA24" s="14">
        <v>7</v>
      </c>
      <c r="AB24" s="14">
        <v>33</v>
      </c>
      <c r="AC24" s="14">
        <f>IF(UN80_Action_Plan__2_1[[#This Row],[Action No]]=Table10[[#This Row],[Action No]],1,0)</f>
        <v>0</v>
      </c>
      <c r="AD24" s="14">
        <f t="shared" si="0"/>
        <v>1</v>
      </c>
      <c r="AH24" s="14" t="s">
        <v>890</v>
      </c>
      <c r="AI24" s="15" t="s">
        <v>1461</v>
      </c>
      <c r="AJ24" s="19" t="s">
        <v>1456</v>
      </c>
      <c r="AK24" s="80" t="s">
        <v>1455</v>
      </c>
      <c r="AM24" s="14">
        <v>7</v>
      </c>
      <c r="AN24" s="14">
        <v>33</v>
      </c>
      <c r="AO24" s="14">
        <f>IF(UN80_Action_Plan__2_1[[#This Row],[Action No]]=Table8[[#This Row],[Action No]],1,0)</f>
        <v>0</v>
      </c>
      <c r="AP24" s="14"/>
      <c r="AQ24" s="14"/>
      <c r="AR24" s="14" t="s">
        <v>788</v>
      </c>
      <c r="AS24" s="14">
        <v>7</v>
      </c>
      <c r="AT24" s="14">
        <v>33</v>
      </c>
      <c r="AU24" s="14">
        <f>IF(UN80_Action_Plan__2_1[[#This Row],[Action No]]=Table9[[#This Row],[Action No]],1,0)</f>
        <v>0</v>
      </c>
    </row>
    <row r="25" spans="1:47" ht="89.5" customHeight="1">
      <c r="A25" s="14">
        <v>8</v>
      </c>
      <c r="B25" s="14" t="s">
        <v>182</v>
      </c>
      <c r="C25" s="14">
        <v>34</v>
      </c>
      <c r="D25" s="14" t="s">
        <v>183</v>
      </c>
      <c r="E25" s="16"/>
      <c r="F25" s="14" t="s">
        <v>891</v>
      </c>
      <c r="G25" s="14" t="s">
        <v>892</v>
      </c>
      <c r="H25" s="14" t="s">
        <v>893</v>
      </c>
      <c r="I25" s="14" t="s">
        <v>894</v>
      </c>
      <c r="J25" s="14" t="s">
        <v>600</v>
      </c>
      <c r="K25" s="18">
        <v>46052</v>
      </c>
      <c r="L25" s="14" t="s">
        <v>895</v>
      </c>
      <c r="M25" s="18">
        <v>46282</v>
      </c>
      <c r="N25" s="16" t="s">
        <v>564</v>
      </c>
      <c r="O25" s="14" t="s">
        <v>896</v>
      </c>
      <c r="P25" s="16" t="s">
        <v>897</v>
      </c>
      <c r="Q25" s="35">
        <v>46282.166666666664</v>
      </c>
      <c r="R25" s="16"/>
      <c r="V25" s="57" t="s">
        <v>897</v>
      </c>
      <c r="W25" s="56">
        <f>UN80_Action_Plan__2_1[[#This Row],[Milestone Final Deadline]]</f>
        <v>46282</v>
      </c>
      <c r="X25" s="22"/>
      <c r="Y25" s="22"/>
      <c r="Z25" s="14" t="s">
        <v>786</v>
      </c>
      <c r="AA25" s="14">
        <v>8</v>
      </c>
      <c r="AB25" s="14">
        <v>34</v>
      </c>
      <c r="AC25" s="14">
        <f>IF(UN80_Action_Plan__2_1[[#This Row],[Action No]]=Table10[[#This Row],[Action No]],1,0)</f>
        <v>1</v>
      </c>
      <c r="AD25" s="14">
        <f t="shared" si="0"/>
        <v>1</v>
      </c>
      <c r="AH25" s="14" t="s">
        <v>898</v>
      </c>
      <c r="AI25" s="16" t="s">
        <v>899</v>
      </c>
      <c r="AJ25" s="19" t="s">
        <v>1471</v>
      </c>
      <c r="AK25" s="80" t="s">
        <v>1469</v>
      </c>
      <c r="AL25" s="14" t="s">
        <v>900</v>
      </c>
      <c r="AM25" s="14">
        <v>8</v>
      </c>
      <c r="AN25" s="14">
        <v>34</v>
      </c>
      <c r="AO25" s="14">
        <f>IF(UN80_Action_Plan__2_1[[#This Row],[Action No]]=Table8[[#This Row],[Action No]],1,0)</f>
        <v>1</v>
      </c>
      <c r="AP25" s="14"/>
      <c r="AQ25" s="14"/>
      <c r="AR25" s="14"/>
      <c r="AS25" s="14">
        <v>8</v>
      </c>
      <c r="AT25" s="14">
        <v>34</v>
      </c>
      <c r="AU25" s="14">
        <f>IF(UN80_Action_Plan__2_1[[#This Row],[Action No]]=Table9[[#This Row],[Action No]],1,0)</f>
        <v>1</v>
      </c>
    </row>
    <row r="26" spans="1:47" ht="89.5" customHeight="1">
      <c r="A26" s="14">
        <v>8</v>
      </c>
      <c r="B26" s="14" t="s">
        <v>182</v>
      </c>
      <c r="C26" s="14">
        <v>54</v>
      </c>
      <c r="D26" s="14" t="s">
        <v>192</v>
      </c>
      <c r="E26" s="16"/>
      <c r="F26" s="14" t="s">
        <v>891</v>
      </c>
      <c r="G26" s="14" t="s">
        <v>892</v>
      </c>
      <c r="H26" s="14" t="s">
        <v>901</v>
      </c>
      <c r="I26" s="14" t="s">
        <v>894</v>
      </c>
      <c r="J26" s="14" t="s">
        <v>902</v>
      </c>
      <c r="K26" s="18">
        <v>46052</v>
      </c>
      <c r="L26" s="14" t="s">
        <v>903</v>
      </c>
      <c r="M26" s="18">
        <v>46282</v>
      </c>
      <c r="N26" s="16" t="s">
        <v>564</v>
      </c>
      <c r="O26" s="14" t="s">
        <v>904</v>
      </c>
      <c r="P26" s="16" t="s">
        <v>897</v>
      </c>
      <c r="Q26" s="35">
        <v>46282.166666666664</v>
      </c>
      <c r="R26" s="16"/>
      <c r="V26" s="57" t="s">
        <v>897</v>
      </c>
      <c r="W26" s="56">
        <f>UN80_Action_Plan__2_1[[#This Row],[Milestone Final Deadline]]</f>
        <v>46282</v>
      </c>
      <c r="X26" s="22"/>
      <c r="Y26" s="22"/>
      <c r="Z26" s="14" t="s">
        <v>786</v>
      </c>
      <c r="AA26" s="14">
        <v>8</v>
      </c>
      <c r="AB26" s="14">
        <v>54</v>
      </c>
      <c r="AC26" s="14">
        <f>IF(UN80_Action_Plan__2_1[[#This Row],[Action No]]=Table10[[#This Row],[Action No]],1,0)</f>
        <v>1</v>
      </c>
      <c r="AD26" s="14">
        <f t="shared" si="0"/>
        <v>1</v>
      </c>
      <c r="AJ26" s="19" t="s">
        <v>1400</v>
      </c>
      <c r="AK26" s="80" t="s">
        <v>1401</v>
      </c>
      <c r="AL26" s="14" t="s">
        <v>905</v>
      </c>
      <c r="AM26" s="14">
        <v>8</v>
      </c>
      <c r="AN26" s="14">
        <v>54</v>
      </c>
      <c r="AO26" s="14">
        <f>IF(UN80_Action_Plan__2_1[[#This Row],[Action No]]=Table8[[#This Row],[Action No]],1,0)</f>
        <v>1</v>
      </c>
      <c r="AP26" s="14"/>
      <c r="AQ26" s="14"/>
      <c r="AR26" s="14"/>
      <c r="AS26" s="14">
        <v>8</v>
      </c>
      <c r="AT26" s="14">
        <v>54</v>
      </c>
      <c r="AU26" s="14">
        <f>IF(UN80_Action_Plan__2_1[[#This Row],[Action No]]=Table9[[#This Row],[Action No]],1,0)</f>
        <v>1</v>
      </c>
    </row>
    <row r="27" spans="1:47" ht="89.5" customHeight="1">
      <c r="A27" s="14">
        <v>9</v>
      </c>
      <c r="B27" s="14" t="s">
        <v>197</v>
      </c>
      <c r="C27" s="14">
        <v>42</v>
      </c>
      <c r="D27" s="14" t="s">
        <v>198</v>
      </c>
      <c r="E27" s="16"/>
      <c r="F27" s="14" t="s">
        <v>199</v>
      </c>
      <c r="G27" s="14" t="s">
        <v>906</v>
      </c>
      <c r="H27" s="14" t="s">
        <v>907</v>
      </c>
      <c r="I27" s="14" t="s">
        <v>908</v>
      </c>
      <c r="J27" s="14" t="s">
        <v>606</v>
      </c>
      <c r="K27" s="18">
        <v>46052</v>
      </c>
      <c r="L27" s="14" t="s">
        <v>607</v>
      </c>
      <c r="M27" s="18">
        <v>46111</v>
      </c>
      <c r="N27" s="16" t="s">
        <v>564</v>
      </c>
      <c r="P27" s="16" t="s">
        <v>607</v>
      </c>
      <c r="Q27" s="35">
        <v>46111.166666666664</v>
      </c>
      <c r="R27" s="16"/>
      <c r="V27" s="57" t="s">
        <v>607</v>
      </c>
      <c r="W27" s="56">
        <f>UN80_Action_Plan__2_1[[#This Row],[Milestone Final Deadline]]</f>
        <v>46111</v>
      </c>
      <c r="X27" s="22"/>
      <c r="Y27" s="22"/>
      <c r="Z27" s="14" t="s">
        <v>786</v>
      </c>
      <c r="AA27" s="14">
        <v>9</v>
      </c>
      <c r="AB27" s="14">
        <v>42</v>
      </c>
      <c r="AC27" s="14">
        <f>IF(UN80_Action_Plan__2_1[[#This Row],[Action No]]=Table10[[#This Row],[Action No]],1,0)</f>
        <v>1</v>
      </c>
      <c r="AD27" s="14">
        <f t="shared" si="0"/>
        <v>1</v>
      </c>
      <c r="AI27" s="14" t="s">
        <v>909</v>
      </c>
      <c r="AJ27" s="14" t="s">
        <v>1402</v>
      </c>
      <c r="AK27" s="15" t="s">
        <v>1403</v>
      </c>
      <c r="AL27" s="14" t="s">
        <v>910</v>
      </c>
      <c r="AM27" s="14">
        <v>9</v>
      </c>
      <c r="AN27" s="14">
        <v>42</v>
      </c>
      <c r="AO27" s="14">
        <f>IF(UN80_Action_Plan__2_1[[#This Row],[Action No]]=Table8[[#This Row],[Action No]],1,0)</f>
        <v>1</v>
      </c>
      <c r="AP27" s="14"/>
      <c r="AQ27" s="14"/>
      <c r="AR27" s="14"/>
      <c r="AS27" s="14">
        <v>9</v>
      </c>
      <c r="AT27" s="14">
        <v>42</v>
      </c>
      <c r="AU27" s="14">
        <f>IF(UN80_Action_Plan__2_1[[#This Row],[Action No]]=Table9[[#This Row],[Action No]],1,0)</f>
        <v>1</v>
      </c>
    </row>
    <row r="28" spans="1:47" ht="89.5" customHeight="1">
      <c r="A28" s="14">
        <v>10</v>
      </c>
      <c r="B28" s="14" t="s">
        <v>202</v>
      </c>
      <c r="C28" s="14">
        <v>43</v>
      </c>
      <c r="D28" s="14" t="s">
        <v>203</v>
      </c>
      <c r="E28" s="16"/>
      <c r="F28" s="14" t="s">
        <v>35</v>
      </c>
      <c r="G28" s="14" t="s">
        <v>608</v>
      </c>
      <c r="H28" s="14" t="s">
        <v>911</v>
      </c>
      <c r="I28" s="14" t="s">
        <v>912</v>
      </c>
      <c r="J28" s="14" t="s">
        <v>913</v>
      </c>
      <c r="K28" s="18">
        <v>46052</v>
      </c>
      <c r="L28" s="14" t="s">
        <v>914</v>
      </c>
      <c r="M28" s="18">
        <v>46112</v>
      </c>
      <c r="N28" s="16" t="s">
        <v>564</v>
      </c>
      <c r="P28" s="16" t="s">
        <v>915</v>
      </c>
      <c r="Q28" s="35">
        <v>46112.166666666664</v>
      </c>
      <c r="R28" s="16"/>
      <c r="V28" s="57" t="s">
        <v>915</v>
      </c>
      <c r="W28" s="56">
        <f>UN80_Action_Plan__2_1[[#This Row],[Milestone Final Deadline]]</f>
        <v>46112</v>
      </c>
      <c r="X28" s="22"/>
      <c r="Y28" s="22"/>
      <c r="Z28" s="14" t="s">
        <v>786</v>
      </c>
      <c r="AA28" s="14">
        <v>10</v>
      </c>
      <c r="AB28" s="14">
        <v>43</v>
      </c>
      <c r="AC28" s="14">
        <f>IF(UN80_Action_Plan__2_1[[#This Row],[Action No]]=Table10[[#This Row],[Action No]],1,0)</f>
        <v>1</v>
      </c>
      <c r="AD28" s="14">
        <f t="shared" si="0"/>
        <v>1</v>
      </c>
      <c r="AJ28" s="15"/>
      <c r="AK28" s="15" t="s">
        <v>1404</v>
      </c>
      <c r="AL28" s="14" t="s">
        <v>916</v>
      </c>
      <c r="AM28" s="14">
        <v>10</v>
      </c>
      <c r="AN28" s="14">
        <v>43</v>
      </c>
      <c r="AO28" s="14">
        <f>IF(UN80_Action_Plan__2_1[[#This Row],[Action No]]=Table8[[#This Row],[Action No]],1,0)</f>
        <v>1</v>
      </c>
      <c r="AP28" s="14"/>
      <c r="AQ28" s="14"/>
      <c r="AR28" s="14" t="s">
        <v>788</v>
      </c>
      <c r="AS28" s="14">
        <v>10</v>
      </c>
      <c r="AT28" s="14">
        <v>43</v>
      </c>
      <c r="AU28" s="14">
        <f>IF(UN80_Action_Plan__2_1[[#This Row],[Action No]]=Table9[[#This Row],[Action No]],1,0)</f>
        <v>1</v>
      </c>
    </row>
    <row r="29" spans="1:47" ht="89.5" customHeight="1">
      <c r="A29" s="14">
        <v>10</v>
      </c>
      <c r="B29" s="14" t="s">
        <v>202</v>
      </c>
      <c r="C29" s="14">
        <v>44</v>
      </c>
      <c r="D29" s="14" t="s">
        <v>206</v>
      </c>
      <c r="E29" s="16"/>
      <c r="F29" s="14" t="s">
        <v>35</v>
      </c>
      <c r="G29" s="14" t="s">
        <v>613</v>
      </c>
      <c r="H29" s="14" t="s">
        <v>911</v>
      </c>
      <c r="I29" s="14" t="s">
        <v>912</v>
      </c>
      <c r="J29" s="14" t="s">
        <v>913</v>
      </c>
      <c r="K29" s="18">
        <v>46052</v>
      </c>
      <c r="L29" s="14" t="s">
        <v>914</v>
      </c>
      <c r="M29" s="18">
        <v>46112</v>
      </c>
      <c r="N29" s="16" t="s">
        <v>564</v>
      </c>
      <c r="P29" s="16" t="s">
        <v>915</v>
      </c>
      <c r="Q29" s="35">
        <v>46112.166666666664</v>
      </c>
      <c r="R29" s="16"/>
      <c r="V29" s="57" t="s">
        <v>915</v>
      </c>
      <c r="W29" s="56">
        <f>UN80_Action_Plan__2_1[[#This Row],[Milestone Final Deadline]]</f>
        <v>46112</v>
      </c>
      <c r="X29" s="22"/>
      <c r="Y29" s="22"/>
      <c r="Z29" s="14" t="s">
        <v>786</v>
      </c>
      <c r="AA29" s="14">
        <v>10</v>
      </c>
      <c r="AB29" s="14">
        <v>44</v>
      </c>
      <c r="AC29" s="14">
        <f>IF(UN80_Action_Plan__2_1[[#This Row],[Action No]]=Table10[[#This Row],[Action No]],1,0)</f>
        <v>1</v>
      </c>
      <c r="AD29" s="14">
        <f t="shared" si="0"/>
        <v>1</v>
      </c>
      <c r="AK29" s="14" t="s">
        <v>1342</v>
      </c>
      <c r="AL29" s="14" t="s">
        <v>917</v>
      </c>
      <c r="AM29" s="14">
        <v>10</v>
      </c>
      <c r="AN29" s="14">
        <v>44</v>
      </c>
      <c r="AO29" s="14">
        <f>IF(UN80_Action_Plan__2_1[[#This Row],[Action No]]=Table8[[#This Row],[Action No]],1,0)</f>
        <v>1</v>
      </c>
      <c r="AP29" s="14"/>
      <c r="AQ29" s="14"/>
      <c r="AR29" s="14" t="s">
        <v>788</v>
      </c>
      <c r="AS29" s="14">
        <v>10</v>
      </c>
      <c r="AT29" s="14">
        <v>44</v>
      </c>
      <c r="AU29" s="14">
        <f>IF(UN80_Action_Plan__2_1[[#This Row],[Action No]]=Table9[[#This Row],[Action No]],1,0)</f>
        <v>1</v>
      </c>
    </row>
    <row r="30" spans="1:47" ht="89.5" customHeight="1">
      <c r="A30" s="14">
        <v>10</v>
      </c>
      <c r="B30" s="14" t="s">
        <v>202</v>
      </c>
      <c r="C30" s="14">
        <v>46</v>
      </c>
      <c r="D30" s="14" t="s">
        <v>918</v>
      </c>
      <c r="E30" s="16"/>
      <c r="F30" s="14" t="s">
        <v>35</v>
      </c>
      <c r="G30" s="14" t="s">
        <v>613</v>
      </c>
      <c r="H30" s="14" t="s">
        <v>919</v>
      </c>
      <c r="I30" s="14" t="s">
        <v>610</v>
      </c>
      <c r="J30" s="14" t="s">
        <v>913</v>
      </c>
      <c r="K30" s="18">
        <v>46052</v>
      </c>
      <c r="L30" s="14" t="s">
        <v>615</v>
      </c>
      <c r="M30" s="18">
        <v>46280</v>
      </c>
      <c r="N30" s="16" t="s">
        <v>507</v>
      </c>
      <c r="O30" s="14" t="s">
        <v>920</v>
      </c>
      <c r="P30" s="16" t="s">
        <v>616</v>
      </c>
      <c r="Q30" s="35">
        <v>46280.166666666664</v>
      </c>
      <c r="R30" s="16"/>
      <c r="V30" s="57" t="s">
        <v>616</v>
      </c>
      <c r="W30" s="56">
        <f>UN80_Action_Plan__2_1[[#This Row],[Milestone Final Deadline]]</f>
        <v>46280</v>
      </c>
      <c r="X30" s="22"/>
      <c r="Y30" s="22"/>
      <c r="Z30" s="14" t="s">
        <v>786</v>
      </c>
      <c r="AA30" s="14">
        <v>10</v>
      </c>
      <c r="AB30" s="14">
        <v>46</v>
      </c>
      <c r="AC30" s="14">
        <f>IF(UN80_Action_Plan__2_1[[#This Row],[Action No]]=Table10[[#This Row],[Action No]],1,0)</f>
        <v>1</v>
      </c>
      <c r="AD30" s="14">
        <f t="shared" si="0"/>
        <v>1</v>
      </c>
      <c r="AK30" s="14" t="s">
        <v>1343</v>
      </c>
      <c r="AL30" s="14" t="s">
        <v>921</v>
      </c>
      <c r="AM30" s="14">
        <v>10</v>
      </c>
      <c r="AN30" s="14">
        <v>46</v>
      </c>
      <c r="AO30" s="14">
        <f>IF(UN80_Action_Plan__2_1[[#This Row],[Action No]]=Table8[[#This Row],[Action No]],1,0)</f>
        <v>1</v>
      </c>
      <c r="AP30" s="14"/>
      <c r="AQ30" s="14"/>
      <c r="AR30" s="14" t="s">
        <v>788</v>
      </c>
      <c r="AS30" s="14">
        <v>10</v>
      </c>
      <c r="AT30" s="14">
        <v>46</v>
      </c>
      <c r="AU30" s="14">
        <f>IF(UN80_Action_Plan__2_1[[#This Row],[Action No]]=Table9[[#This Row],[Action No]],1,0)</f>
        <v>1</v>
      </c>
    </row>
    <row r="31" spans="1:47" ht="89.5" customHeight="1">
      <c r="A31" s="14">
        <v>11</v>
      </c>
      <c r="B31" s="14" t="s">
        <v>215</v>
      </c>
      <c r="C31" s="14">
        <v>38</v>
      </c>
      <c r="D31" s="14" t="s">
        <v>458</v>
      </c>
      <c r="E31" s="16"/>
      <c r="F31" s="14" t="s">
        <v>35</v>
      </c>
      <c r="G31" s="14" t="s">
        <v>922</v>
      </c>
      <c r="I31" s="14" t="s">
        <v>923</v>
      </c>
      <c r="J31" s="14" t="s">
        <v>924</v>
      </c>
      <c r="K31" s="18">
        <v>45991</v>
      </c>
      <c r="L31" s="14" t="s">
        <v>925</v>
      </c>
      <c r="M31" s="18">
        <v>46021</v>
      </c>
      <c r="N31" s="16" t="s">
        <v>564</v>
      </c>
      <c r="P31" s="16" t="s">
        <v>926</v>
      </c>
      <c r="Q31" s="35"/>
      <c r="R31" s="16" t="s">
        <v>927</v>
      </c>
      <c r="V31" s="19" t="s">
        <v>926</v>
      </c>
      <c r="W31" s="56"/>
      <c r="X31" s="77" t="s">
        <v>927</v>
      </c>
      <c r="Y31" s="75"/>
      <c r="Z31" s="14" t="s">
        <v>786</v>
      </c>
      <c r="AA31" s="14">
        <v>11</v>
      </c>
      <c r="AB31" s="14">
        <v>38</v>
      </c>
      <c r="AC31" s="14">
        <f>IF(UN80_Action_Plan__2_1[[#This Row],[Action No]]=Table10[[#This Row],[Action No]],1,0)</f>
        <v>1</v>
      </c>
      <c r="AD31" s="14">
        <f t="shared" si="0"/>
        <v>1</v>
      </c>
      <c r="AK31" s="14" t="s">
        <v>1344</v>
      </c>
      <c r="AL31" s="14" t="s">
        <v>928</v>
      </c>
      <c r="AM31" s="14">
        <v>11</v>
      </c>
      <c r="AN31" s="14">
        <v>38</v>
      </c>
      <c r="AO31" s="14">
        <f>IF(UN80_Action_Plan__2_1[[#This Row],[Action No]]=Table8[[#This Row],[Action No]],1,0)</f>
        <v>1</v>
      </c>
      <c r="AP31" s="14"/>
      <c r="AQ31" s="14"/>
      <c r="AR31" s="14"/>
      <c r="AS31" s="14">
        <v>11</v>
      </c>
      <c r="AT31" s="14">
        <v>38</v>
      </c>
      <c r="AU31" s="14">
        <f>IF(UN80_Action_Plan__2_1[[#This Row],[Action No]]=Table9[[#This Row],[Action No]],1,0)</f>
        <v>1</v>
      </c>
    </row>
    <row r="32" spans="1:47" ht="89.5" customHeight="1">
      <c r="A32" s="14">
        <v>11</v>
      </c>
      <c r="B32" s="14" t="s">
        <v>215</v>
      </c>
      <c r="C32" s="14">
        <v>45</v>
      </c>
      <c r="D32" s="14" t="s">
        <v>216</v>
      </c>
      <c r="E32" s="16"/>
      <c r="F32" s="14" t="s">
        <v>35</v>
      </c>
      <c r="G32" s="14" t="s">
        <v>608</v>
      </c>
      <c r="H32" s="14" t="s">
        <v>929</v>
      </c>
      <c r="I32" s="14" t="s">
        <v>610</v>
      </c>
      <c r="J32" s="14" t="s">
        <v>617</v>
      </c>
      <c r="K32" s="18">
        <v>45995</v>
      </c>
      <c r="L32" s="14" t="s">
        <v>930</v>
      </c>
      <c r="M32" s="18">
        <v>46080</v>
      </c>
      <c r="N32" s="16" t="s">
        <v>564</v>
      </c>
      <c r="P32" s="16" t="s">
        <v>931</v>
      </c>
      <c r="Q32" s="35">
        <v>46080.208333333336</v>
      </c>
      <c r="R32" s="16"/>
      <c r="V32" s="14" t="s">
        <v>931</v>
      </c>
      <c r="W32" s="56">
        <f>UN80_Action_Plan__2_1[[#This Row],[Milestone Final Deadline]]</f>
        <v>46080</v>
      </c>
      <c r="X32" s="23"/>
      <c r="Y32" s="23"/>
      <c r="Z32" s="14" t="s">
        <v>786</v>
      </c>
      <c r="AA32" s="14">
        <v>11</v>
      </c>
      <c r="AB32" s="14">
        <v>45</v>
      </c>
      <c r="AC32" s="14">
        <f>IF(UN80_Action_Plan__2_1[[#This Row],[Action No]]=Table10[[#This Row],[Action No]],1,0)</f>
        <v>1</v>
      </c>
      <c r="AD32" s="14">
        <f t="shared" si="0"/>
        <v>1</v>
      </c>
      <c r="AK32" s="14" t="s">
        <v>1345</v>
      </c>
      <c r="AM32" s="14">
        <v>11</v>
      </c>
      <c r="AN32" s="14">
        <v>45</v>
      </c>
      <c r="AO32" s="14">
        <f>IF(UN80_Action_Plan__2_1[[#This Row],[Action No]]=Table8[[#This Row],[Action No]],1,0)</f>
        <v>1</v>
      </c>
      <c r="AP32" s="14"/>
      <c r="AQ32" s="14"/>
      <c r="AR32" s="14"/>
      <c r="AS32" s="14">
        <v>11</v>
      </c>
      <c r="AT32" s="14">
        <v>45</v>
      </c>
      <c r="AU32" s="14">
        <f>IF(UN80_Action_Plan__2_1[[#This Row],[Action No]]=Table9[[#This Row],[Action No]],1,0)</f>
        <v>1</v>
      </c>
    </row>
    <row r="33" spans="1:47" ht="89.5" customHeight="1">
      <c r="A33" s="14">
        <v>12</v>
      </c>
      <c r="B33" s="14" t="s">
        <v>219</v>
      </c>
      <c r="C33" s="14">
        <v>48</v>
      </c>
      <c r="D33" s="14" t="s">
        <v>220</v>
      </c>
      <c r="E33" s="16"/>
      <c r="F33" s="14" t="s">
        <v>932</v>
      </c>
      <c r="G33" s="14" t="s">
        <v>619</v>
      </c>
      <c r="H33" s="14" t="s">
        <v>578</v>
      </c>
      <c r="I33" s="14" t="s">
        <v>884</v>
      </c>
      <c r="J33" s="14" t="s">
        <v>620</v>
      </c>
      <c r="K33" s="18">
        <v>46029</v>
      </c>
      <c r="L33" s="14" t="s">
        <v>621</v>
      </c>
      <c r="M33" s="18">
        <v>46263</v>
      </c>
      <c r="N33" s="16" t="s">
        <v>564</v>
      </c>
      <c r="P33" s="16" t="s">
        <v>933</v>
      </c>
      <c r="Q33" s="35">
        <v>46112.166666666664</v>
      </c>
      <c r="R33" s="16"/>
      <c r="V33" s="58" t="s">
        <v>934</v>
      </c>
      <c r="W33" s="56">
        <v>46112</v>
      </c>
      <c r="X33" s="26"/>
      <c r="Y33" s="26"/>
      <c r="Z33" s="14" t="s">
        <v>786</v>
      </c>
      <c r="AA33" s="14">
        <v>12</v>
      </c>
      <c r="AB33" s="14">
        <v>48</v>
      </c>
      <c r="AC33" s="14">
        <f>IF(UN80_Action_Plan__2_1[[#This Row],[Action No]]=Table10[[#This Row],[Action No]],1,0)</f>
        <v>1</v>
      </c>
      <c r="AD33" s="14" t="str">
        <f t="shared" si="0"/>
        <v>Upcoming milestone mismatch</v>
      </c>
      <c r="AJ33" s="14" t="s">
        <v>1405</v>
      </c>
      <c r="AK33" s="15" t="s">
        <v>1406</v>
      </c>
      <c r="AL33" s="14" t="s">
        <v>935</v>
      </c>
      <c r="AM33" s="14">
        <v>12</v>
      </c>
      <c r="AN33" s="14">
        <v>48</v>
      </c>
      <c r="AO33" s="14">
        <f>IF(UN80_Action_Plan__2_1[[#This Row],[Action No]]=Table8[[#This Row],[Action No]],1,0)</f>
        <v>1</v>
      </c>
      <c r="AP33" s="14"/>
      <c r="AQ33" s="14"/>
      <c r="AR33" s="14" t="s">
        <v>788</v>
      </c>
      <c r="AS33" s="14">
        <v>12</v>
      </c>
      <c r="AT33" s="14">
        <v>48</v>
      </c>
      <c r="AU33" s="14">
        <f>IF(UN80_Action_Plan__2_1[[#This Row],[Action No]]=Table9[[#This Row],[Action No]],1,0)</f>
        <v>1</v>
      </c>
    </row>
    <row r="34" spans="1:47" ht="89.5" customHeight="1">
      <c r="A34" s="14">
        <v>12</v>
      </c>
      <c r="B34" s="14" t="s">
        <v>219</v>
      </c>
      <c r="C34" s="14">
        <v>50</v>
      </c>
      <c r="D34" s="14" t="s">
        <v>227</v>
      </c>
      <c r="E34" s="16"/>
      <c r="F34" s="14" t="s">
        <v>932</v>
      </c>
      <c r="G34" s="14" t="s">
        <v>619</v>
      </c>
      <c r="H34" s="14" t="s">
        <v>578</v>
      </c>
      <c r="I34" s="14" t="s">
        <v>884</v>
      </c>
      <c r="J34" s="14" t="s">
        <v>620</v>
      </c>
      <c r="K34" s="18">
        <v>46029</v>
      </c>
      <c r="L34" s="14" t="s">
        <v>621</v>
      </c>
      <c r="M34" s="18">
        <v>46263</v>
      </c>
      <c r="N34" s="16" t="s">
        <v>564</v>
      </c>
      <c r="P34" s="16" t="s">
        <v>936</v>
      </c>
      <c r="Q34" s="35">
        <v>46112.166666666664</v>
      </c>
      <c r="R34" s="16"/>
      <c r="V34" s="58" t="s">
        <v>936</v>
      </c>
      <c r="W34" s="56">
        <v>46112</v>
      </c>
      <c r="X34" s="26"/>
      <c r="Y34" s="26"/>
      <c r="Z34" s="14" t="s">
        <v>786</v>
      </c>
      <c r="AA34" s="14">
        <v>12</v>
      </c>
      <c r="AB34" s="14">
        <v>50</v>
      </c>
      <c r="AC34" s="14">
        <f>IF(UN80_Action_Plan__2_1[[#This Row],[Action No]]=Table10[[#This Row],[Action No]],1,0)</f>
        <v>1</v>
      </c>
      <c r="AD34" s="14">
        <f t="shared" si="0"/>
        <v>1</v>
      </c>
      <c r="AJ34" s="14" t="s">
        <v>1407</v>
      </c>
      <c r="AK34" s="15" t="s">
        <v>1408</v>
      </c>
      <c r="AL34" s="14" t="s">
        <v>935</v>
      </c>
      <c r="AM34" s="14">
        <v>12</v>
      </c>
      <c r="AN34" s="14">
        <v>50</v>
      </c>
      <c r="AO34" s="14">
        <f>IF(UN80_Action_Plan__2_1[[#This Row],[Action No]]=Table8[[#This Row],[Action No]],1,0)</f>
        <v>1</v>
      </c>
      <c r="AP34" s="14"/>
      <c r="AQ34" s="14"/>
      <c r="AR34" s="14" t="s">
        <v>788</v>
      </c>
      <c r="AS34" s="14">
        <v>12</v>
      </c>
      <c r="AT34" s="14">
        <v>50</v>
      </c>
      <c r="AU34" s="14">
        <f>IF(UN80_Action_Plan__2_1[[#This Row],[Action No]]=Table9[[#This Row],[Action No]],1,0)</f>
        <v>1</v>
      </c>
    </row>
    <row r="35" spans="1:47" ht="89.5" customHeight="1">
      <c r="A35" s="14">
        <v>13</v>
      </c>
      <c r="B35" s="14" t="s">
        <v>231</v>
      </c>
      <c r="C35" s="14">
        <v>19</v>
      </c>
      <c r="D35" s="14" t="s">
        <v>232</v>
      </c>
      <c r="E35" s="16"/>
      <c r="F35" s="14" t="s">
        <v>937</v>
      </c>
      <c r="G35" s="14" t="s">
        <v>622</v>
      </c>
      <c r="H35" s="14" t="s">
        <v>623</v>
      </c>
      <c r="I35" s="14" t="s">
        <v>938</v>
      </c>
      <c r="J35" s="14" t="s">
        <v>939</v>
      </c>
      <c r="K35" s="18">
        <v>46052</v>
      </c>
      <c r="L35" s="14" t="s">
        <v>626</v>
      </c>
      <c r="M35" s="18">
        <v>46233</v>
      </c>
      <c r="N35" s="16" t="s">
        <v>564</v>
      </c>
      <c r="P35" s="16" t="s">
        <v>940</v>
      </c>
      <c r="Q35" s="35">
        <v>46081.208333333336</v>
      </c>
      <c r="R35" s="16"/>
      <c r="V35" s="58" t="s">
        <v>940</v>
      </c>
      <c r="W35" s="56">
        <v>46081</v>
      </c>
      <c r="X35" s="22"/>
      <c r="Y35" s="54"/>
      <c r="Z35" s="14" t="s">
        <v>786</v>
      </c>
      <c r="AA35" s="14">
        <v>13</v>
      </c>
      <c r="AB35" s="14">
        <v>19</v>
      </c>
      <c r="AC35" s="14">
        <f>IF(UN80_Action_Plan__2_1[[#This Row],[Action No]]=Table10[[#This Row],[Action No]],1,0)</f>
        <v>1</v>
      </c>
      <c r="AD35" s="14">
        <f t="shared" si="0"/>
        <v>1</v>
      </c>
      <c r="AI35" s="15" t="s">
        <v>941</v>
      </c>
      <c r="AJ35" s="14" t="s">
        <v>1346</v>
      </c>
      <c r="AL35" s="14" t="s">
        <v>942</v>
      </c>
      <c r="AM35" s="14">
        <v>13</v>
      </c>
      <c r="AN35" s="14">
        <v>19</v>
      </c>
      <c r="AO35" s="14">
        <f>IF(UN80_Action_Plan__2_1[[#This Row],[Action No]]=Table8[[#This Row],[Action No]],1,0)</f>
        <v>1</v>
      </c>
      <c r="AP35" s="14"/>
      <c r="AQ35" s="14"/>
      <c r="AR35" s="14" t="s">
        <v>788</v>
      </c>
      <c r="AS35" s="14">
        <v>13</v>
      </c>
      <c r="AT35" s="14">
        <v>19</v>
      </c>
      <c r="AU35" s="14">
        <f>IF(UN80_Action_Plan__2_1[[#This Row],[Action No]]=Table9[[#This Row],[Action No]],1,0)</f>
        <v>1</v>
      </c>
    </row>
    <row r="36" spans="1:47" ht="89.5" customHeight="1">
      <c r="A36" s="14">
        <v>13</v>
      </c>
      <c r="B36" s="14" t="s">
        <v>231</v>
      </c>
      <c r="C36" s="14">
        <v>57</v>
      </c>
      <c r="D36" s="14" t="s">
        <v>240</v>
      </c>
      <c r="E36" s="16"/>
      <c r="F36" s="14" t="s">
        <v>937</v>
      </c>
      <c r="G36" s="14" t="s">
        <v>622</v>
      </c>
      <c r="H36" s="14" t="s">
        <v>623</v>
      </c>
      <c r="I36" s="14" t="s">
        <v>943</v>
      </c>
      <c r="J36" s="14" t="s">
        <v>627</v>
      </c>
      <c r="K36" s="18">
        <v>46052</v>
      </c>
      <c r="L36" s="14" t="s">
        <v>628</v>
      </c>
      <c r="M36" s="18">
        <v>46233</v>
      </c>
      <c r="N36" s="16" t="s">
        <v>564</v>
      </c>
      <c r="P36" s="16" t="s">
        <v>944</v>
      </c>
      <c r="Q36" s="35">
        <v>46081.208333333336</v>
      </c>
      <c r="R36" s="16"/>
      <c r="V36" s="58" t="s">
        <v>944</v>
      </c>
      <c r="W36" s="56">
        <v>46081</v>
      </c>
      <c r="X36" s="22"/>
      <c r="Y36" s="54"/>
      <c r="Z36" s="14" t="s">
        <v>786</v>
      </c>
      <c r="AA36" s="14">
        <v>13</v>
      </c>
      <c r="AB36" s="14">
        <v>57</v>
      </c>
      <c r="AC36" s="14">
        <f>IF(UN80_Action_Plan__2_1[[#This Row],[Action No]]=Table10[[#This Row],[Action No]],1,0)</f>
        <v>1</v>
      </c>
      <c r="AD36" s="14">
        <f t="shared" si="0"/>
        <v>1</v>
      </c>
      <c r="AI36" s="14" t="s">
        <v>945</v>
      </c>
      <c r="AJ36" s="15" t="s">
        <v>946</v>
      </c>
      <c r="AK36" s="14" t="s">
        <v>1409</v>
      </c>
      <c r="AL36" s="14" t="s">
        <v>947</v>
      </c>
      <c r="AM36" s="14">
        <v>13</v>
      </c>
      <c r="AN36" s="14">
        <v>57</v>
      </c>
      <c r="AO36" s="14">
        <f>IF(UN80_Action_Plan__2_1[[#This Row],[Action No]]=Table8[[#This Row],[Action No]],1,0)</f>
        <v>1</v>
      </c>
      <c r="AP36" s="14"/>
      <c r="AQ36" s="14"/>
      <c r="AR36" s="14" t="s">
        <v>788</v>
      </c>
      <c r="AS36" s="14">
        <v>13</v>
      </c>
      <c r="AT36" s="14">
        <v>57</v>
      </c>
      <c r="AU36" s="14">
        <f>IF(UN80_Action_Plan__2_1[[#This Row],[Action No]]=Table9[[#This Row],[Action No]],1,0)</f>
        <v>1</v>
      </c>
    </row>
    <row r="37" spans="1:47" ht="89.5" customHeight="1">
      <c r="A37" s="14">
        <v>14</v>
      </c>
      <c r="B37" s="14" t="s">
        <v>245</v>
      </c>
      <c r="C37" s="14">
        <v>63</v>
      </c>
      <c r="D37" s="14" t="s">
        <v>246</v>
      </c>
      <c r="E37" s="16"/>
      <c r="F37" s="14" t="s">
        <v>948</v>
      </c>
      <c r="G37" s="14" t="s">
        <v>949</v>
      </c>
      <c r="H37" s="14" t="s">
        <v>950</v>
      </c>
      <c r="I37" s="14" t="s">
        <v>951</v>
      </c>
      <c r="J37" s="14" t="s">
        <v>952</v>
      </c>
      <c r="K37" s="18">
        <v>46052</v>
      </c>
      <c r="L37" s="14" t="s">
        <v>953</v>
      </c>
      <c r="M37" s="18">
        <v>46325</v>
      </c>
      <c r="N37" s="16" t="s">
        <v>564</v>
      </c>
      <c r="P37" s="16" t="s">
        <v>954</v>
      </c>
      <c r="Q37" s="35">
        <v>46052.208333333336</v>
      </c>
      <c r="R37" s="16"/>
      <c r="V37" s="14" t="s">
        <v>954</v>
      </c>
      <c r="W37" s="56">
        <f>UN80_Action_Plan__2_1[[#This Row],[Milestone 1 Deadline]]</f>
        <v>46052</v>
      </c>
      <c r="X37" s="22"/>
      <c r="Y37" s="22"/>
      <c r="Z37" s="14" t="s">
        <v>786</v>
      </c>
      <c r="AA37" s="14">
        <v>14</v>
      </c>
      <c r="AB37" s="14">
        <v>63</v>
      </c>
      <c r="AC37" s="14">
        <f>IF(UN80_Action_Plan__2_1[[#This Row],[Action No]]=Table10[[#This Row],[Action No]],1,0)</f>
        <v>1</v>
      </c>
      <c r="AD37" s="14">
        <f t="shared" si="0"/>
        <v>1</v>
      </c>
      <c r="AH37" s="14" t="s">
        <v>1372</v>
      </c>
      <c r="AI37" s="14" t="s">
        <v>955</v>
      </c>
      <c r="AJ37" s="19" t="s">
        <v>1410</v>
      </c>
      <c r="AK37" s="80" t="s">
        <v>1411</v>
      </c>
      <c r="AL37" s="14" t="s">
        <v>956</v>
      </c>
      <c r="AM37" s="14">
        <v>14</v>
      </c>
      <c r="AN37" s="14">
        <v>63</v>
      </c>
      <c r="AO37" s="14">
        <f>IF(UN80_Action_Plan__2_1[[#This Row],[Action No]]=Table8[[#This Row],[Action No]],1,0)</f>
        <v>1</v>
      </c>
      <c r="AP37" s="14"/>
      <c r="AQ37" s="14"/>
      <c r="AR37" s="14" t="s">
        <v>788</v>
      </c>
      <c r="AS37" s="14">
        <v>14</v>
      </c>
      <c r="AT37" s="14">
        <v>63</v>
      </c>
      <c r="AU37" s="14">
        <f>IF(UN80_Action_Plan__2_1[[#This Row],[Action No]]=Table9[[#This Row],[Action No]],1,0)</f>
        <v>1</v>
      </c>
    </row>
    <row r="38" spans="1:47" ht="89.5" customHeight="1">
      <c r="A38" s="14">
        <v>14</v>
      </c>
      <c r="B38" s="14" t="s">
        <v>245</v>
      </c>
      <c r="C38" s="14">
        <v>64</v>
      </c>
      <c r="D38" s="14" t="s">
        <v>957</v>
      </c>
      <c r="E38" s="16" t="s">
        <v>958</v>
      </c>
      <c r="F38" s="14" t="s">
        <v>948</v>
      </c>
      <c r="G38" s="14" t="s">
        <v>959</v>
      </c>
      <c r="H38" s="14" t="s">
        <v>960</v>
      </c>
      <c r="I38" s="14" t="s">
        <v>961</v>
      </c>
      <c r="J38" s="14" t="s">
        <v>962</v>
      </c>
      <c r="K38" s="18">
        <v>46112</v>
      </c>
      <c r="L38" s="14" t="s">
        <v>963</v>
      </c>
      <c r="M38" s="18">
        <v>46387</v>
      </c>
      <c r="N38" s="16" t="s">
        <v>522</v>
      </c>
      <c r="O38" s="14" t="s">
        <v>964</v>
      </c>
      <c r="P38" s="16" t="s">
        <v>965</v>
      </c>
      <c r="Q38" s="35">
        <v>46112.166666666664</v>
      </c>
      <c r="R38" s="16"/>
      <c r="V38" s="57" t="s">
        <v>965</v>
      </c>
      <c r="W38" s="56">
        <f>UN80_Action_Plan__2_1[[#This Row],[Milestone 1 Deadline]]</f>
        <v>46112</v>
      </c>
      <c r="X38" s="22"/>
      <c r="Y38" s="22"/>
      <c r="Z38" s="14" t="s">
        <v>786</v>
      </c>
      <c r="AA38" s="14">
        <v>14</v>
      </c>
      <c r="AB38" s="14">
        <v>64</v>
      </c>
      <c r="AC38" s="14">
        <f>IF(UN80_Action_Plan__2_1[[#This Row],[Action No]]=Table10[[#This Row],[Action No]],1,0)</f>
        <v>1</v>
      </c>
      <c r="AD38" s="14">
        <f t="shared" ref="AD38:AD69" si="1">IF(
    AND(P38=V38, INT(Q38)=INT(W38), R38=X38),
    1,
    _xlfn.TEXTJOIN(", ", TRUE,
        IF(P38&lt;&gt;V38, "Upcoming milestone mismatch", ""),
        IF(INT(Q38)&lt;&gt;INT(W38), "Delivery date mismatch", ""),
        IF(R38&lt;&gt;X38, "Updates mismatch", "")
    )
)</f>
        <v>1</v>
      </c>
      <c r="AH38" s="14" t="s">
        <v>1364</v>
      </c>
      <c r="AJ38" s="19" t="s">
        <v>1412</v>
      </c>
      <c r="AK38" s="19" t="s">
        <v>1413</v>
      </c>
      <c r="AL38" s="14" t="s">
        <v>966</v>
      </c>
      <c r="AM38" s="14">
        <v>14</v>
      </c>
      <c r="AN38" s="14">
        <v>64</v>
      </c>
      <c r="AO38" s="14">
        <f>IF(UN80_Action_Plan__2_1[[#This Row],[Action No]]=Table8[[#This Row],[Action No]],1,0)</f>
        <v>1</v>
      </c>
      <c r="AP38" s="14"/>
      <c r="AQ38" s="14"/>
      <c r="AR38" s="14" t="s">
        <v>788</v>
      </c>
      <c r="AS38" s="14">
        <v>14</v>
      </c>
      <c r="AT38" s="14">
        <v>64</v>
      </c>
      <c r="AU38" s="14">
        <f>IF(UN80_Action_Plan__2_1[[#This Row],[Action No]]=Table9[[#This Row],[Action No]],1,0)</f>
        <v>1</v>
      </c>
    </row>
    <row r="39" spans="1:47" ht="89.5" customHeight="1">
      <c r="A39" s="14">
        <v>14</v>
      </c>
      <c r="B39" s="14" t="s">
        <v>245</v>
      </c>
      <c r="C39" s="14">
        <v>65</v>
      </c>
      <c r="D39" s="14" t="s">
        <v>254</v>
      </c>
      <c r="E39" s="16"/>
      <c r="F39" s="14" t="s">
        <v>948</v>
      </c>
      <c r="G39" s="14" t="s">
        <v>967</v>
      </c>
      <c r="H39" s="14" t="s">
        <v>968</v>
      </c>
      <c r="I39" s="14" t="s">
        <v>951</v>
      </c>
      <c r="J39" s="14" t="s">
        <v>969</v>
      </c>
      <c r="K39" s="18">
        <v>46053</v>
      </c>
      <c r="L39" s="14" t="s">
        <v>637</v>
      </c>
      <c r="M39" s="18">
        <v>46279</v>
      </c>
      <c r="N39" s="16" t="s">
        <v>564</v>
      </c>
      <c r="P39" s="16" t="s">
        <v>970</v>
      </c>
      <c r="Q39" s="35">
        <v>46053.208333333336</v>
      </c>
      <c r="R39" s="16"/>
      <c r="V39" s="58" t="s">
        <v>970</v>
      </c>
      <c r="W39" s="56">
        <f>UN80_Action_Plan__2_1[[#This Row],[Milestone 1 Deadline]]</f>
        <v>46053</v>
      </c>
      <c r="X39" s="22"/>
      <c r="Y39" s="22"/>
      <c r="Z39" s="14" t="s">
        <v>786</v>
      </c>
      <c r="AA39" s="14">
        <v>14</v>
      </c>
      <c r="AB39" s="14">
        <v>65</v>
      </c>
      <c r="AC39" s="14">
        <f>IF(UN80_Action_Plan__2_1[[#This Row],[Action No]]=Table10[[#This Row],[Action No]],1,0)</f>
        <v>1</v>
      </c>
      <c r="AD39" s="14">
        <f t="shared" si="1"/>
        <v>1</v>
      </c>
      <c r="AH39" s="14" t="s">
        <v>1362</v>
      </c>
      <c r="AJ39" s="19" t="s">
        <v>1414</v>
      </c>
      <c r="AK39" s="80" t="s">
        <v>1415</v>
      </c>
      <c r="AL39" s="14" t="s">
        <v>971</v>
      </c>
      <c r="AM39" s="14">
        <v>14</v>
      </c>
      <c r="AN39" s="14">
        <v>65</v>
      </c>
      <c r="AO39" s="14">
        <f>IF(UN80_Action_Plan__2_1[[#This Row],[Action No]]=Table8[[#This Row],[Action No]],1,0)</f>
        <v>1</v>
      </c>
      <c r="AP39" s="14"/>
      <c r="AQ39" s="14"/>
      <c r="AR39" s="14" t="s">
        <v>788</v>
      </c>
      <c r="AS39" s="14">
        <v>14</v>
      </c>
      <c r="AT39" s="14">
        <v>65</v>
      </c>
      <c r="AU39" s="14">
        <f>IF(UN80_Action_Plan__2_1[[#This Row],[Action No]]=Table9[[#This Row],[Action No]],1,0)</f>
        <v>1</v>
      </c>
    </row>
    <row r="40" spans="1:47" ht="89.5" customHeight="1">
      <c r="A40" s="14">
        <v>14</v>
      </c>
      <c r="B40" s="14" t="s">
        <v>245</v>
      </c>
      <c r="C40" s="14">
        <v>66</v>
      </c>
      <c r="D40" s="14" t="s">
        <v>257</v>
      </c>
      <c r="E40" s="16"/>
      <c r="F40" s="14" t="s">
        <v>948</v>
      </c>
      <c r="G40" s="14" t="s">
        <v>972</v>
      </c>
      <c r="H40" s="14" t="s">
        <v>973</v>
      </c>
      <c r="I40" s="14" t="s">
        <v>974</v>
      </c>
      <c r="J40" s="14" t="s">
        <v>975</v>
      </c>
      <c r="K40" s="18">
        <v>46053</v>
      </c>
      <c r="L40" s="14" t="s">
        <v>976</v>
      </c>
      <c r="M40" s="18">
        <v>46340</v>
      </c>
      <c r="N40" s="16" t="s">
        <v>564</v>
      </c>
      <c r="P40" s="16" t="s">
        <v>977</v>
      </c>
      <c r="Q40" s="35">
        <v>46053.208333333336</v>
      </c>
      <c r="R40" s="16"/>
      <c r="V40" s="58" t="s">
        <v>977</v>
      </c>
      <c r="W40" s="56">
        <f>UN80_Action_Plan__2_1[[#This Row],[Milestone 1 Deadline]]</f>
        <v>46053</v>
      </c>
      <c r="X40" s="22"/>
      <c r="Y40" s="22"/>
      <c r="Z40" s="14" t="s">
        <v>786</v>
      </c>
      <c r="AA40" s="14">
        <v>14</v>
      </c>
      <c r="AB40" s="14">
        <v>66</v>
      </c>
      <c r="AC40" s="14">
        <f>IF(UN80_Action_Plan__2_1[[#This Row],[Action No]]=Table10[[#This Row],[Action No]],1,0)</f>
        <v>1</v>
      </c>
      <c r="AD40" s="14">
        <f t="shared" si="1"/>
        <v>1</v>
      </c>
      <c r="AH40" s="14" t="s">
        <v>1363</v>
      </c>
      <c r="AJ40" s="19" t="s">
        <v>1416</v>
      </c>
      <c r="AK40" s="80" t="s">
        <v>1417</v>
      </c>
      <c r="AL40" s="14" t="s">
        <v>978</v>
      </c>
      <c r="AM40" s="14">
        <v>14</v>
      </c>
      <c r="AN40" s="14">
        <v>66</v>
      </c>
      <c r="AO40" s="14">
        <f>IF(UN80_Action_Plan__2_1[[#This Row],[Action No]]=Table8[[#This Row],[Action No]],1,0)</f>
        <v>1</v>
      </c>
      <c r="AP40" s="14"/>
      <c r="AQ40" s="14"/>
      <c r="AR40" s="14" t="s">
        <v>788</v>
      </c>
      <c r="AS40" s="14">
        <v>14</v>
      </c>
      <c r="AT40" s="14">
        <v>66</v>
      </c>
      <c r="AU40" s="14">
        <f>IF(UN80_Action_Plan__2_1[[#This Row],[Action No]]=Table9[[#This Row],[Action No]],1,0)</f>
        <v>1</v>
      </c>
    </row>
    <row r="41" spans="1:47" ht="89.5" customHeight="1">
      <c r="A41" s="14">
        <v>14</v>
      </c>
      <c r="B41" s="14" t="s">
        <v>245</v>
      </c>
      <c r="C41" s="14">
        <v>67</v>
      </c>
      <c r="D41" s="14" t="s">
        <v>260</v>
      </c>
      <c r="E41" s="16"/>
      <c r="F41" s="14" t="s">
        <v>948</v>
      </c>
      <c r="G41" s="14" t="s">
        <v>972</v>
      </c>
      <c r="H41" s="14" t="s">
        <v>973</v>
      </c>
      <c r="I41" s="14" t="s">
        <v>974</v>
      </c>
      <c r="J41" s="14" t="s">
        <v>979</v>
      </c>
      <c r="K41" s="18">
        <v>46053</v>
      </c>
      <c r="L41" s="14" t="s">
        <v>980</v>
      </c>
      <c r="M41" s="18">
        <v>46340</v>
      </c>
      <c r="N41" s="16" t="s">
        <v>507</v>
      </c>
      <c r="P41" s="16" t="s">
        <v>981</v>
      </c>
      <c r="Q41" s="35"/>
      <c r="R41" s="16"/>
      <c r="V41" s="16" t="s">
        <v>981</v>
      </c>
      <c r="W41" s="56"/>
      <c r="X41" s="22"/>
      <c r="Y41" s="22"/>
      <c r="Z41" s="14" t="s">
        <v>786</v>
      </c>
      <c r="AA41" s="14">
        <v>14</v>
      </c>
      <c r="AB41" s="14">
        <v>67</v>
      </c>
      <c r="AC41" s="14">
        <f>IF(UN80_Action_Plan__2_1[[#This Row],[Action No]]=Table10[[#This Row],[Action No]],1,0)</f>
        <v>1</v>
      </c>
      <c r="AD41" s="14">
        <f t="shared" si="1"/>
        <v>1</v>
      </c>
      <c r="AH41" s="14" t="s">
        <v>1460</v>
      </c>
      <c r="AJ41" s="19" t="s">
        <v>1351</v>
      </c>
      <c r="AK41" s="19" t="s">
        <v>1418</v>
      </c>
      <c r="AM41" s="14">
        <v>14</v>
      </c>
      <c r="AN41" s="14">
        <v>67</v>
      </c>
      <c r="AO41" s="14">
        <f>IF(UN80_Action_Plan__2_1[[#This Row],[Action No]]=Table8[[#This Row],[Action No]],1,0)</f>
        <v>1</v>
      </c>
      <c r="AP41" s="14"/>
      <c r="AQ41" s="14"/>
      <c r="AR41" s="14" t="s">
        <v>788</v>
      </c>
      <c r="AS41" s="14">
        <v>14</v>
      </c>
      <c r="AT41" s="14">
        <v>67</v>
      </c>
      <c r="AU41" s="14">
        <f>IF(UN80_Action_Plan__2_1[[#This Row],[Action No]]=Table9[[#This Row],[Action No]],1,0)</f>
        <v>1</v>
      </c>
    </row>
    <row r="42" spans="1:47" ht="89.5" customHeight="1">
      <c r="A42" s="14">
        <v>15</v>
      </c>
      <c r="B42" s="14" t="s">
        <v>263</v>
      </c>
      <c r="C42" s="14">
        <v>61</v>
      </c>
      <c r="D42" s="14" t="s">
        <v>264</v>
      </c>
      <c r="E42" s="16"/>
      <c r="F42" s="14" t="s">
        <v>982</v>
      </c>
      <c r="G42" s="14" t="s">
        <v>983</v>
      </c>
      <c r="H42" s="14" t="s">
        <v>984</v>
      </c>
      <c r="I42" s="14" t="s">
        <v>985</v>
      </c>
      <c r="J42" s="14" t="s">
        <v>986</v>
      </c>
      <c r="K42" s="18">
        <v>46068</v>
      </c>
      <c r="L42" s="14" t="s">
        <v>987</v>
      </c>
      <c r="M42" s="18">
        <v>46156</v>
      </c>
      <c r="N42" s="16" t="s">
        <v>564</v>
      </c>
      <c r="P42" s="16" t="s">
        <v>988</v>
      </c>
      <c r="Q42" s="35">
        <v>46156.166666666664</v>
      </c>
      <c r="R42" s="16"/>
      <c r="V42" s="58" t="s">
        <v>988</v>
      </c>
      <c r="W42" s="56">
        <f>UN80_Action_Plan__2_1[[#This Row],[Milestone Final Deadline]]</f>
        <v>46156</v>
      </c>
      <c r="X42" s="22"/>
      <c r="Y42" s="22"/>
      <c r="Z42" s="14" t="s">
        <v>786</v>
      </c>
      <c r="AA42" s="14">
        <v>15</v>
      </c>
      <c r="AB42" s="14">
        <v>61</v>
      </c>
      <c r="AC42" s="14">
        <f>IF(UN80_Action_Plan__2_1[[#This Row],[Action No]]=Table10[[#This Row],[Action No]],1,0)</f>
        <v>1</v>
      </c>
      <c r="AD42" s="14">
        <f t="shared" si="1"/>
        <v>1</v>
      </c>
      <c r="AH42" s="14" t="s">
        <v>1365</v>
      </c>
      <c r="AJ42" s="19" t="s">
        <v>1419</v>
      </c>
      <c r="AK42" s="80" t="s">
        <v>1420</v>
      </c>
      <c r="AL42" s="14" t="s">
        <v>989</v>
      </c>
      <c r="AM42" s="14">
        <v>15</v>
      </c>
      <c r="AN42" s="14">
        <v>61</v>
      </c>
      <c r="AO42" s="14">
        <f>IF(UN80_Action_Plan__2_1[[#This Row],[Action No]]=Table8[[#This Row],[Action No]],1,0)</f>
        <v>1</v>
      </c>
      <c r="AP42" s="14"/>
      <c r="AQ42" s="14"/>
      <c r="AR42" s="14"/>
      <c r="AS42" s="14">
        <v>15</v>
      </c>
      <c r="AT42" s="14">
        <v>61</v>
      </c>
      <c r="AU42" s="14">
        <f>IF(UN80_Action_Plan__2_1[[#This Row],[Action No]]=Table9[[#This Row],[Action No]],1,0)</f>
        <v>1</v>
      </c>
    </row>
    <row r="43" spans="1:47" ht="89.5" customHeight="1">
      <c r="A43" s="14">
        <v>15</v>
      </c>
      <c r="B43" s="14" t="s">
        <v>263</v>
      </c>
      <c r="C43" s="14">
        <v>62</v>
      </c>
      <c r="D43" s="14" t="s">
        <v>990</v>
      </c>
      <c r="E43" s="16"/>
      <c r="F43" s="14" t="s">
        <v>982</v>
      </c>
      <c r="G43" s="14" t="s">
        <v>983</v>
      </c>
      <c r="H43" s="14" t="s">
        <v>984</v>
      </c>
      <c r="I43" s="14" t="s">
        <v>985</v>
      </c>
      <c r="J43" s="14" t="s">
        <v>991</v>
      </c>
      <c r="K43" s="18">
        <v>46061</v>
      </c>
      <c r="L43" s="14" t="s">
        <v>649</v>
      </c>
      <c r="M43" s="18">
        <v>46279</v>
      </c>
      <c r="N43" s="16" t="s">
        <v>564</v>
      </c>
      <c r="O43" s="14" t="s">
        <v>992</v>
      </c>
      <c r="P43" s="16" t="s">
        <v>993</v>
      </c>
      <c r="Q43" s="35">
        <v>46061.208333333336</v>
      </c>
      <c r="R43" s="16"/>
      <c r="V43" s="23" t="s">
        <v>994</v>
      </c>
      <c r="W43" s="56">
        <f>UN80_Action_Plan__2_1[[#This Row],[Milestone 1 Deadline]]</f>
        <v>46061</v>
      </c>
      <c r="X43" s="22"/>
      <c r="Y43" s="22"/>
      <c r="Z43" s="14" t="s">
        <v>786</v>
      </c>
      <c r="AA43" s="14">
        <v>15</v>
      </c>
      <c r="AB43" s="14">
        <v>62</v>
      </c>
      <c r="AC43" s="14">
        <f>IF(UN80_Action_Plan__2_1[[#This Row],[Action No]]=Table10[[#This Row],[Action No]],1,0)</f>
        <v>1</v>
      </c>
      <c r="AD43" s="14" t="str">
        <f t="shared" si="1"/>
        <v>Upcoming milestone mismatch</v>
      </c>
      <c r="AH43" s="14" t="s">
        <v>1366</v>
      </c>
      <c r="AI43" s="14" t="s">
        <v>995</v>
      </c>
      <c r="AJ43" s="19" t="s">
        <v>1421</v>
      </c>
      <c r="AK43" s="80" t="s">
        <v>1422</v>
      </c>
      <c r="AL43" s="14" t="s">
        <v>996</v>
      </c>
      <c r="AM43" s="14">
        <v>15</v>
      </c>
      <c r="AN43" s="14">
        <v>62</v>
      </c>
      <c r="AO43" s="14">
        <f>IF(UN80_Action_Plan__2_1[[#This Row],[Action No]]=Table8[[#This Row],[Action No]],1,0)</f>
        <v>1</v>
      </c>
      <c r="AP43" s="14"/>
      <c r="AQ43" s="14"/>
      <c r="AR43" s="14"/>
      <c r="AS43" s="14">
        <v>15</v>
      </c>
      <c r="AT43" s="14">
        <v>62</v>
      </c>
      <c r="AU43" s="14">
        <f>IF(UN80_Action_Plan__2_1[[#This Row],[Action No]]=Table9[[#This Row],[Action No]],1,0)</f>
        <v>1</v>
      </c>
    </row>
    <row r="44" spans="1:47" ht="89.5" customHeight="1">
      <c r="A44" s="14">
        <v>16</v>
      </c>
      <c r="B44" s="14" t="s">
        <v>271</v>
      </c>
      <c r="C44" s="14">
        <v>73</v>
      </c>
      <c r="D44" s="14" t="s">
        <v>997</v>
      </c>
      <c r="E44" s="16"/>
      <c r="F44" s="14" t="s">
        <v>998</v>
      </c>
      <c r="G44" s="14" t="s">
        <v>999</v>
      </c>
      <c r="H44" s="14" t="s">
        <v>1000</v>
      </c>
      <c r="I44" s="14" t="s">
        <v>1001</v>
      </c>
      <c r="J44" s="14" t="s">
        <v>1002</v>
      </c>
      <c r="K44" s="18">
        <v>46080</v>
      </c>
      <c r="L44" s="14" t="s">
        <v>1003</v>
      </c>
      <c r="M44" s="18">
        <v>46279</v>
      </c>
      <c r="N44" s="16" t="s">
        <v>564</v>
      </c>
      <c r="O44" s="14" t="s">
        <v>992</v>
      </c>
      <c r="P44" s="16" t="s">
        <v>1004</v>
      </c>
      <c r="Q44" s="35">
        <v>46279.166666666664</v>
      </c>
      <c r="R44" s="16"/>
      <c r="V44" s="57" t="s">
        <v>1004</v>
      </c>
      <c r="W44" s="56">
        <f>UN80_Action_Plan__2_1[[#This Row],[Milestone Final Deadline]]</f>
        <v>46279</v>
      </c>
      <c r="X44" s="22"/>
      <c r="Y44" s="22"/>
      <c r="Z44" s="14" t="s">
        <v>786</v>
      </c>
      <c r="AA44" s="14">
        <v>16</v>
      </c>
      <c r="AB44" s="14">
        <v>73</v>
      </c>
      <c r="AC44" s="14">
        <f>IF(UN80_Action_Plan__2_1[[#This Row],[Action No]]=Table10[[#This Row],[Action No]],1,0)</f>
        <v>1</v>
      </c>
      <c r="AD44" s="14">
        <f t="shared" si="1"/>
        <v>1</v>
      </c>
      <c r="AH44" s="14" t="s">
        <v>1005</v>
      </c>
      <c r="AI44" s="14" t="s">
        <v>1006</v>
      </c>
      <c r="AJ44" s="19" t="s">
        <v>1423</v>
      </c>
      <c r="AK44" s="80" t="s">
        <v>1424</v>
      </c>
      <c r="AM44" s="14">
        <v>16</v>
      </c>
      <c r="AN44" s="14">
        <v>73</v>
      </c>
      <c r="AO44" s="14">
        <f>IF(UN80_Action_Plan__2_1[[#This Row],[Action No]]=Table8[[#This Row],[Action No]],1,0)</f>
        <v>1</v>
      </c>
      <c r="AP44" s="14"/>
      <c r="AQ44" s="14"/>
      <c r="AR44" s="14"/>
      <c r="AS44" s="14">
        <v>16</v>
      </c>
      <c r="AT44" s="14">
        <v>73</v>
      </c>
      <c r="AU44" s="14">
        <f>IF(UN80_Action_Plan__2_1[[#This Row],[Action No]]=Table9[[#This Row],[Action No]],1,0)</f>
        <v>1</v>
      </c>
    </row>
    <row r="45" spans="1:47" ht="89.5" customHeight="1">
      <c r="A45" s="14">
        <v>16</v>
      </c>
      <c r="B45" s="14" t="s">
        <v>271</v>
      </c>
      <c r="C45" s="14">
        <v>74</v>
      </c>
      <c r="D45" s="14" t="s">
        <v>1007</v>
      </c>
      <c r="E45" s="16"/>
      <c r="F45" s="14" t="s">
        <v>998</v>
      </c>
      <c r="G45" s="14" t="s">
        <v>999</v>
      </c>
      <c r="H45" s="14" t="s">
        <v>1000</v>
      </c>
      <c r="I45" s="14" t="s">
        <v>1001</v>
      </c>
      <c r="J45" s="14" t="s">
        <v>1008</v>
      </c>
      <c r="K45" s="18">
        <v>46080</v>
      </c>
      <c r="L45" s="14" t="s">
        <v>1009</v>
      </c>
      <c r="M45" s="18">
        <v>45914</v>
      </c>
      <c r="N45" s="16" t="s">
        <v>564</v>
      </c>
      <c r="O45" s="14" t="s">
        <v>992</v>
      </c>
      <c r="P45" s="16" t="s">
        <v>1010</v>
      </c>
      <c r="Q45" s="35">
        <v>46080.208333333336</v>
      </c>
      <c r="R45" s="16"/>
      <c r="V45" s="57" t="s">
        <v>1010</v>
      </c>
      <c r="W45" s="56">
        <f>UN80_Action_Plan__2_1[[#This Row],[Milestone 1 Deadline]]</f>
        <v>46080</v>
      </c>
      <c r="X45" s="22"/>
      <c r="Y45" s="22"/>
      <c r="Z45" s="14" t="s">
        <v>786</v>
      </c>
      <c r="AA45" s="14">
        <v>16</v>
      </c>
      <c r="AB45" s="14">
        <v>74</v>
      </c>
      <c r="AC45" s="14">
        <f>IF(UN80_Action_Plan__2_1[[#This Row],[Action No]]=Table10[[#This Row],[Action No]],1,0)</f>
        <v>1</v>
      </c>
      <c r="AD45" s="14">
        <f t="shared" si="1"/>
        <v>1</v>
      </c>
      <c r="AI45" s="14" t="s">
        <v>1011</v>
      </c>
      <c r="AJ45" s="19" t="s">
        <v>1425</v>
      </c>
      <c r="AK45" s="80" t="s">
        <v>1426</v>
      </c>
      <c r="AM45" s="14">
        <v>16</v>
      </c>
      <c r="AN45" s="14">
        <v>74</v>
      </c>
      <c r="AO45" s="14">
        <f>IF(UN80_Action_Plan__2_1[[#This Row],[Action No]]=Table8[[#This Row],[Action No]],1,0)</f>
        <v>1</v>
      </c>
      <c r="AP45" s="14"/>
      <c r="AQ45" s="14"/>
      <c r="AR45" s="14"/>
      <c r="AS45" s="14">
        <v>16</v>
      </c>
      <c r="AT45" s="14">
        <v>74</v>
      </c>
      <c r="AU45" s="14">
        <f>IF(UN80_Action_Plan__2_1[[#This Row],[Action No]]=Table9[[#This Row],[Action No]],1,0)</f>
        <v>1</v>
      </c>
    </row>
    <row r="46" spans="1:47" ht="89.5" customHeight="1">
      <c r="A46" s="14">
        <v>16</v>
      </c>
      <c r="B46" s="14" t="s">
        <v>271</v>
      </c>
      <c r="C46" s="14">
        <v>75</v>
      </c>
      <c r="D46" s="14" t="s">
        <v>279</v>
      </c>
      <c r="E46" s="16"/>
      <c r="F46" s="14" t="s">
        <v>998</v>
      </c>
      <c r="G46" s="14" t="s">
        <v>999</v>
      </c>
      <c r="H46" s="14" t="s">
        <v>1000</v>
      </c>
      <c r="I46" s="14" t="s">
        <v>1001</v>
      </c>
      <c r="J46" s="14" t="s">
        <v>1012</v>
      </c>
      <c r="K46" s="18">
        <v>46080</v>
      </c>
      <c r="L46" s="14" t="s">
        <v>1013</v>
      </c>
      <c r="M46" s="18">
        <v>46279</v>
      </c>
      <c r="N46" s="16" t="s">
        <v>564</v>
      </c>
      <c r="P46" s="16" t="s">
        <v>1014</v>
      </c>
      <c r="Q46" s="35">
        <v>46080.208333333336</v>
      </c>
      <c r="R46" s="16"/>
      <c r="V46" s="57" t="s">
        <v>1014</v>
      </c>
      <c r="W46" s="56">
        <f>UN80_Action_Plan__2_1[[#This Row],[Milestone 1 Deadline]]</f>
        <v>46080</v>
      </c>
      <c r="X46" s="22"/>
      <c r="Y46" s="22"/>
      <c r="Z46" s="14" t="s">
        <v>786</v>
      </c>
      <c r="AA46" s="14">
        <v>16</v>
      </c>
      <c r="AB46" s="14">
        <v>75</v>
      </c>
      <c r="AC46" s="14">
        <f>IF(UN80_Action_Plan__2_1[[#This Row],[Action No]]=Table10[[#This Row],[Action No]],1,0)</f>
        <v>1</v>
      </c>
      <c r="AD46" s="14">
        <f t="shared" si="1"/>
        <v>1</v>
      </c>
      <c r="AJ46" s="14" t="s">
        <v>1427</v>
      </c>
      <c r="AK46" s="15" t="s">
        <v>1428</v>
      </c>
      <c r="AM46" s="14">
        <v>16</v>
      </c>
      <c r="AN46" s="14">
        <v>75</v>
      </c>
      <c r="AO46" s="14">
        <f>IF(UN80_Action_Plan__2_1[[#This Row],[Action No]]=Table8[[#This Row],[Action No]],1,0)</f>
        <v>1</v>
      </c>
      <c r="AP46" s="14"/>
      <c r="AQ46" s="14"/>
      <c r="AR46" s="14"/>
      <c r="AS46" s="14">
        <v>16</v>
      </c>
      <c r="AT46" s="14">
        <v>75</v>
      </c>
      <c r="AU46" s="14">
        <f>IF(UN80_Action_Plan__2_1[[#This Row],[Action No]]=Table9[[#This Row],[Action No]],1,0)</f>
        <v>1</v>
      </c>
    </row>
    <row r="47" spans="1:47" ht="89.5" customHeight="1">
      <c r="A47" s="14">
        <v>17</v>
      </c>
      <c r="B47" s="14" t="s">
        <v>282</v>
      </c>
      <c r="C47" s="14">
        <v>68</v>
      </c>
      <c r="D47" s="14" t="s">
        <v>1015</v>
      </c>
      <c r="E47" s="16"/>
      <c r="F47" s="14" t="s">
        <v>1016</v>
      </c>
      <c r="G47" s="14" t="s">
        <v>1017</v>
      </c>
      <c r="H47" s="14" t="s">
        <v>1018</v>
      </c>
      <c r="I47" s="14" t="s">
        <v>1019</v>
      </c>
      <c r="J47" s="14" t="s">
        <v>1020</v>
      </c>
      <c r="K47" s="18">
        <v>46052</v>
      </c>
      <c r="L47" s="14" t="s">
        <v>1021</v>
      </c>
      <c r="M47" s="18">
        <v>46202</v>
      </c>
      <c r="N47" s="16" t="s">
        <v>564</v>
      </c>
      <c r="O47" s="14" t="s">
        <v>1022</v>
      </c>
      <c r="P47" s="16" t="s">
        <v>1023</v>
      </c>
      <c r="Q47" s="35">
        <v>46053.208333333336</v>
      </c>
      <c r="R47" s="16"/>
      <c r="V47" s="23" t="s">
        <v>1024</v>
      </c>
      <c r="W47" s="56">
        <v>46053</v>
      </c>
      <c r="X47" s="22"/>
      <c r="Y47" s="22"/>
      <c r="Z47" s="14" t="s">
        <v>786</v>
      </c>
      <c r="AA47" s="14">
        <v>17</v>
      </c>
      <c r="AB47" s="14">
        <v>68</v>
      </c>
      <c r="AC47" s="14">
        <f>IF(UN80_Action_Plan__2_1[[#This Row],[Action No]]=Table10[[#This Row],[Action No]],1,0)</f>
        <v>1</v>
      </c>
      <c r="AD47" s="14" t="str">
        <f t="shared" si="1"/>
        <v>Upcoming milestone mismatch</v>
      </c>
      <c r="AH47" s="14" t="s">
        <v>1025</v>
      </c>
      <c r="AI47" s="14" t="s">
        <v>1465</v>
      </c>
      <c r="AJ47" s="14" t="s">
        <v>1453</v>
      </c>
      <c r="AK47" s="15" t="s">
        <v>1454</v>
      </c>
      <c r="AL47" s="14" t="s">
        <v>1026</v>
      </c>
      <c r="AM47" s="14">
        <v>17</v>
      </c>
      <c r="AN47" s="14">
        <v>68</v>
      </c>
      <c r="AO47" s="14">
        <f>IF(UN80_Action_Plan__2_1[[#This Row],[Action No]]=Table8[[#This Row],[Action No]],1,0)</f>
        <v>1</v>
      </c>
      <c r="AP47" s="14"/>
      <c r="AQ47" s="14"/>
      <c r="AR47" s="14"/>
      <c r="AS47" s="14">
        <v>17</v>
      </c>
      <c r="AT47" s="14">
        <v>68</v>
      </c>
      <c r="AU47" s="14">
        <f>IF(UN80_Action_Plan__2_1[[#This Row],[Action No]]=Table9[[#This Row],[Action No]],1,0)</f>
        <v>1</v>
      </c>
    </row>
    <row r="48" spans="1:47" ht="89.5" customHeight="1">
      <c r="A48" s="14">
        <v>17</v>
      </c>
      <c r="B48" s="14" t="s">
        <v>282</v>
      </c>
      <c r="C48" s="14">
        <v>69</v>
      </c>
      <c r="D48" s="14" t="s">
        <v>291</v>
      </c>
      <c r="E48" s="16"/>
      <c r="F48" s="14" t="s">
        <v>1016</v>
      </c>
      <c r="G48" s="14" t="s">
        <v>1017</v>
      </c>
      <c r="H48" s="14" t="s">
        <v>1027</v>
      </c>
      <c r="I48" s="14" t="s">
        <v>1028</v>
      </c>
      <c r="J48" s="14" t="s">
        <v>1029</v>
      </c>
      <c r="K48" s="18">
        <v>45995</v>
      </c>
      <c r="L48" s="14" t="s">
        <v>1030</v>
      </c>
      <c r="M48" s="18">
        <v>46264</v>
      </c>
      <c r="N48" s="16" t="s">
        <v>564</v>
      </c>
      <c r="O48" s="14" t="s">
        <v>992</v>
      </c>
      <c r="P48" s="16" t="s">
        <v>1031</v>
      </c>
      <c r="Q48" s="35">
        <v>46112.166666666664</v>
      </c>
      <c r="R48" s="16"/>
      <c r="V48" s="23" t="s">
        <v>1032</v>
      </c>
      <c r="W48" s="56">
        <v>46112</v>
      </c>
      <c r="X48" s="23"/>
      <c r="Y48" s="23"/>
      <c r="Z48" s="14" t="s">
        <v>786</v>
      </c>
      <c r="AA48" s="14">
        <v>17</v>
      </c>
      <c r="AB48" s="14">
        <v>69</v>
      </c>
      <c r="AC48" s="14">
        <f>IF(UN80_Action_Plan__2_1[[#This Row],[Action No]]=Table10[[#This Row],[Action No]],1,0)</f>
        <v>1</v>
      </c>
      <c r="AD48" s="14" t="str">
        <f t="shared" si="1"/>
        <v>Upcoming milestone mismatch</v>
      </c>
      <c r="AH48" s="14" t="s">
        <v>1033</v>
      </c>
      <c r="AI48" s="14" t="s">
        <v>1464</v>
      </c>
      <c r="AJ48" s="14" t="s">
        <v>1450</v>
      </c>
      <c r="AK48" s="15" t="s">
        <v>1470</v>
      </c>
      <c r="AL48" s="14" t="s">
        <v>1034</v>
      </c>
      <c r="AM48" s="14">
        <v>17</v>
      </c>
      <c r="AN48" s="14">
        <v>69</v>
      </c>
      <c r="AO48" s="14">
        <f>IF(UN80_Action_Plan__2_1[[#This Row],[Action No]]=Table8[[#This Row],[Action No]],1,0)</f>
        <v>1</v>
      </c>
      <c r="AP48" s="14"/>
      <c r="AQ48" s="14"/>
      <c r="AR48" s="14"/>
      <c r="AS48" s="14">
        <v>17</v>
      </c>
      <c r="AT48" s="14">
        <v>69</v>
      </c>
      <c r="AU48" s="14">
        <f>IF(UN80_Action_Plan__2_1[[#This Row],[Action No]]=Table9[[#This Row],[Action No]],1,0)</f>
        <v>1</v>
      </c>
    </row>
    <row r="49" spans="1:47" ht="89.5" customHeight="1">
      <c r="A49" s="14">
        <v>17</v>
      </c>
      <c r="B49" s="14" t="s">
        <v>282</v>
      </c>
      <c r="C49" s="14">
        <v>72</v>
      </c>
      <c r="D49" s="14" t="s">
        <v>294</v>
      </c>
      <c r="E49" s="16"/>
      <c r="F49" s="14" t="s">
        <v>1016</v>
      </c>
      <c r="G49" s="14" t="s">
        <v>1017</v>
      </c>
      <c r="H49" s="14" t="s">
        <v>1035</v>
      </c>
      <c r="I49" s="14" t="s">
        <v>1028</v>
      </c>
      <c r="J49" s="14" t="s">
        <v>658</v>
      </c>
      <c r="K49" s="18">
        <v>46052</v>
      </c>
      <c r="L49" s="14" t="s">
        <v>1036</v>
      </c>
      <c r="M49" s="18">
        <v>46141</v>
      </c>
      <c r="N49" s="16" t="s">
        <v>564</v>
      </c>
      <c r="O49" s="14" t="s">
        <v>992</v>
      </c>
      <c r="P49" s="16" t="s">
        <v>1037</v>
      </c>
      <c r="Q49" s="35">
        <v>46053.208333333336</v>
      </c>
      <c r="R49" s="16"/>
      <c r="V49" s="23" t="s">
        <v>1038</v>
      </c>
      <c r="W49" s="56">
        <v>46053</v>
      </c>
      <c r="X49" s="22"/>
      <c r="Y49" s="22"/>
      <c r="Z49" s="14" t="s">
        <v>786</v>
      </c>
      <c r="AA49" s="14">
        <v>17</v>
      </c>
      <c r="AB49" s="14">
        <v>72</v>
      </c>
      <c r="AC49" s="14">
        <f>IF(UN80_Action_Plan__2_1[[#This Row],[Action No]]=Table10[[#This Row],[Action No]],1,0)</f>
        <v>1</v>
      </c>
      <c r="AD49" s="14" t="str">
        <f t="shared" si="1"/>
        <v>Upcoming milestone mismatch</v>
      </c>
      <c r="AH49" s="14" t="s">
        <v>1039</v>
      </c>
      <c r="AI49" s="14" t="s">
        <v>1466</v>
      </c>
      <c r="AJ49" s="14" t="s">
        <v>1452</v>
      </c>
      <c r="AK49" s="15" t="s">
        <v>1451</v>
      </c>
      <c r="AL49" s="14" t="s">
        <v>1040</v>
      </c>
      <c r="AM49" s="14">
        <v>17</v>
      </c>
      <c r="AN49" s="14">
        <v>72</v>
      </c>
      <c r="AO49" s="14">
        <f>IF(UN80_Action_Plan__2_1[[#This Row],[Action No]]=Table8[[#This Row],[Action No]],1,0)</f>
        <v>1</v>
      </c>
      <c r="AP49" s="14"/>
      <c r="AQ49" s="14"/>
      <c r="AR49" s="14"/>
      <c r="AS49" s="14">
        <v>17</v>
      </c>
      <c r="AT49" s="14">
        <v>72</v>
      </c>
      <c r="AU49" s="14">
        <f>IF(UN80_Action_Plan__2_1[[#This Row],[Action No]]=Table9[[#This Row],[Action No]],1,0)</f>
        <v>1</v>
      </c>
    </row>
    <row r="50" spans="1:47" ht="89.5" customHeight="1">
      <c r="A50" s="14">
        <v>18</v>
      </c>
      <c r="B50" s="14" t="s">
        <v>301</v>
      </c>
      <c r="C50" s="14">
        <v>76</v>
      </c>
      <c r="D50" s="14" t="s">
        <v>302</v>
      </c>
      <c r="E50" s="16"/>
      <c r="F50" s="14" t="s">
        <v>1041</v>
      </c>
      <c r="G50" s="14" t="s">
        <v>1042</v>
      </c>
      <c r="H50" s="14" t="s">
        <v>1043</v>
      </c>
      <c r="I50" s="14" t="s">
        <v>1044</v>
      </c>
      <c r="J50" s="14" t="s">
        <v>661</v>
      </c>
      <c r="K50" s="18">
        <v>46051</v>
      </c>
      <c r="L50" s="14" t="s">
        <v>1045</v>
      </c>
      <c r="M50" s="18">
        <v>46202</v>
      </c>
      <c r="N50" s="16" t="s">
        <v>564</v>
      </c>
      <c r="P50" s="16" t="s">
        <v>1046</v>
      </c>
      <c r="Q50" s="35">
        <v>46202.166666666664</v>
      </c>
      <c r="R50" s="16"/>
      <c r="V50" s="57" t="s">
        <v>1046</v>
      </c>
      <c r="W50" s="56">
        <f>UN80_Action_Plan__2_1[[#This Row],[Milestone Final Deadline]]</f>
        <v>46202</v>
      </c>
      <c r="X50" s="22"/>
      <c r="Y50" s="22"/>
      <c r="Z50" s="14" t="s">
        <v>786</v>
      </c>
      <c r="AA50" s="14">
        <v>18</v>
      </c>
      <c r="AB50" s="14">
        <v>76</v>
      </c>
      <c r="AC50" s="14">
        <f>IF(UN80_Action_Plan__2_1[[#This Row],[Action No]]=Table10[[#This Row],[Action No]],1,0)</f>
        <v>1</v>
      </c>
      <c r="AD50" s="14">
        <f t="shared" si="1"/>
        <v>1</v>
      </c>
      <c r="AH50" s="14" t="s">
        <v>1370</v>
      </c>
      <c r="AI50" s="2"/>
      <c r="AJ50" s="19" t="s">
        <v>1429</v>
      </c>
      <c r="AK50" s="80" t="s">
        <v>1430</v>
      </c>
      <c r="AL50" s="14" t="s">
        <v>1047</v>
      </c>
      <c r="AM50" s="14">
        <v>18</v>
      </c>
      <c r="AN50" s="14">
        <v>76</v>
      </c>
      <c r="AO50" s="14">
        <f>IF(UN80_Action_Plan__2_1[[#This Row],[Action No]]=Table8[[#This Row],[Action No]],1,0)</f>
        <v>1</v>
      </c>
      <c r="AP50" s="14"/>
      <c r="AQ50" s="14"/>
      <c r="AR50" s="14"/>
      <c r="AS50" s="14">
        <v>18</v>
      </c>
      <c r="AT50" s="14">
        <v>76</v>
      </c>
      <c r="AU50" s="14">
        <f>IF(UN80_Action_Plan__2_1[[#This Row],[Action No]]=Table9[[#This Row],[Action No]],1,0)</f>
        <v>1</v>
      </c>
    </row>
    <row r="51" spans="1:47" ht="89.5" customHeight="1">
      <c r="A51" s="14">
        <v>18</v>
      </c>
      <c r="B51" s="14" t="s">
        <v>301</v>
      </c>
      <c r="C51" s="14">
        <v>77</v>
      </c>
      <c r="D51" s="14" t="s">
        <v>310</v>
      </c>
      <c r="E51" s="16"/>
      <c r="F51" s="14" t="s">
        <v>1041</v>
      </c>
      <c r="G51" s="14" t="s">
        <v>1042</v>
      </c>
      <c r="H51" s="14" t="s">
        <v>1043</v>
      </c>
      <c r="I51" s="14" t="s">
        <v>1044</v>
      </c>
      <c r="J51" s="14" t="s">
        <v>304</v>
      </c>
      <c r="K51" s="18">
        <v>46051</v>
      </c>
      <c r="L51" s="14" t="s">
        <v>1048</v>
      </c>
      <c r="M51" s="18">
        <v>46265</v>
      </c>
      <c r="N51" s="16" t="s">
        <v>564</v>
      </c>
      <c r="P51" s="16" t="s">
        <v>1049</v>
      </c>
      <c r="Q51" s="35">
        <v>46051.208333333336</v>
      </c>
      <c r="R51" s="16"/>
      <c r="V51" s="14" t="s">
        <v>1049</v>
      </c>
      <c r="W51" s="56">
        <f>UN80_Action_Plan__2_1[[#This Row],[Milestone 1 Deadline]]</f>
        <v>46051</v>
      </c>
      <c r="X51" s="22"/>
      <c r="Y51" s="22"/>
      <c r="Z51" s="14" t="s">
        <v>786</v>
      </c>
      <c r="AA51" s="14">
        <v>18</v>
      </c>
      <c r="AB51" s="14">
        <v>77</v>
      </c>
      <c r="AC51" s="14">
        <f>IF(UN80_Action_Plan__2_1[[#This Row],[Action No]]=Table10[[#This Row],[Action No]],1,0)</f>
        <v>1</v>
      </c>
      <c r="AD51" s="14">
        <f t="shared" si="1"/>
        <v>1</v>
      </c>
      <c r="AH51" s="14" t="s">
        <v>1369</v>
      </c>
      <c r="AJ51" s="19" t="s">
        <v>1431</v>
      </c>
      <c r="AK51" s="80" t="s">
        <v>1432</v>
      </c>
      <c r="AL51" s="14" t="s">
        <v>1050</v>
      </c>
      <c r="AM51" s="14">
        <v>18</v>
      </c>
      <c r="AN51" s="14">
        <v>77</v>
      </c>
      <c r="AO51" s="14">
        <f>IF(UN80_Action_Plan__2_1[[#This Row],[Action No]]=Table8[[#This Row],[Action No]],1,0)</f>
        <v>1</v>
      </c>
      <c r="AP51" s="14"/>
      <c r="AQ51" s="14"/>
      <c r="AR51" s="14"/>
      <c r="AS51" s="14">
        <v>18</v>
      </c>
      <c r="AT51" s="14">
        <v>77</v>
      </c>
      <c r="AU51" s="14">
        <f>IF(UN80_Action_Plan__2_1[[#This Row],[Action No]]=Table9[[#This Row],[Action No]],1,0)</f>
        <v>1</v>
      </c>
    </row>
    <row r="52" spans="1:47" ht="89.5" customHeight="1">
      <c r="A52" s="14">
        <v>18</v>
      </c>
      <c r="B52" s="14" t="s">
        <v>301</v>
      </c>
      <c r="C52" s="14">
        <v>78</v>
      </c>
      <c r="D52" s="14" t="s">
        <v>314</v>
      </c>
      <c r="E52" s="16"/>
      <c r="F52" s="14" t="s">
        <v>1041</v>
      </c>
      <c r="G52" s="14" t="s">
        <v>1042</v>
      </c>
      <c r="H52" s="14" t="s">
        <v>1043</v>
      </c>
      <c r="I52" s="14" t="s">
        <v>1044</v>
      </c>
      <c r="J52" s="14" t="s">
        <v>315</v>
      </c>
      <c r="K52" s="18">
        <v>46051</v>
      </c>
      <c r="L52" s="14" t="s">
        <v>1051</v>
      </c>
      <c r="M52" s="18">
        <v>46202</v>
      </c>
      <c r="N52" s="16" t="s">
        <v>564</v>
      </c>
      <c r="P52" s="16" t="s">
        <v>1052</v>
      </c>
      <c r="Q52" s="35">
        <v>46051.208333333336</v>
      </c>
      <c r="R52" s="16"/>
      <c r="V52" s="57" t="s">
        <v>1052</v>
      </c>
      <c r="W52" s="56">
        <f>UN80_Action_Plan__2_1[[#This Row],[Milestone 1 Deadline]]</f>
        <v>46051</v>
      </c>
      <c r="X52" s="22"/>
      <c r="Y52" s="22"/>
      <c r="Z52" s="14" t="s">
        <v>786</v>
      </c>
      <c r="AA52" s="14">
        <v>18</v>
      </c>
      <c r="AB52" s="14">
        <v>78</v>
      </c>
      <c r="AC52" s="14">
        <f>IF(UN80_Action_Plan__2_1[[#This Row],[Action No]]=Table10[[#This Row],[Action No]],1,0)</f>
        <v>1</v>
      </c>
      <c r="AD52" s="14">
        <f t="shared" si="1"/>
        <v>1</v>
      </c>
      <c r="AH52" s="14" t="s">
        <v>1367</v>
      </c>
      <c r="AJ52" s="19" t="s">
        <v>1433</v>
      </c>
      <c r="AK52" s="80" t="s">
        <v>1434</v>
      </c>
      <c r="AL52" s="14" t="s">
        <v>1053</v>
      </c>
      <c r="AM52" s="14">
        <v>18</v>
      </c>
      <c r="AN52" s="14">
        <v>78</v>
      </c>
      <c r="AO52" s="14">
        <f>IF(UN80_Action_Plan__2_1[[#This Row],[Action No]]=Table8[[#This Row],[Action No]],1,0)</f>
        <v>1</v>
      </c>
      <c r="AP52" s="14"/>
      <c r="AQ52" s="14"/>
      <c r="AR52" s="14"/>
      <c r="AS52" s="14">
        <v>18</v>
      </c>
      <c r="AT52" s="14">
        <v>78</v>
      </c>
      <c r="AU52" s="14">
        <f>IF(UN80_Action_Plan__2_1[[#This Row],[Action No]]=Table9[[#This Row],[Action No]],1,0)</f>
        <v>1</v>
      </c>
    </row>
    <row r="53" spans="1:47" ht="89.5" customHeight="1">
      <c r="A53" s="14">
        <v>18</v>
      </c>
      <c r="B53" s="14" t="s">
        <v>301</v>
      </c>
      <c r="C53" s="14">
        <v>91</v>
      </c>
      <c r="D53" s="14" t="s">
        <v>320</v>
      </c>
      <c r="E53" s="16"/>
      <c r="F53" s="14" t="s">
        <v>1041</v>
      </c>
      <c r="G53" s="14" t="s">
        <v>1042</v>
      </c>
      <c r="H53" s="14" t="s">
        <v>1043</v>
      </c>
      <c r="I53" s="14" t="s">
        <v>1044</v>
      </c>
      <c r="J53" s="14" t="s">
        <v>663</v>
      </c>
      <c r="K53" s="18">
        <v>46051</v>
      </c>
      <c r="L53" s="14" t="s">
        <v>1054</v>
      </c>
      <c r="M53" s="18">
        <v>46111</v>
      </c>
      <c r="N53" s="16" t="s">
        <v>564</v>
      </c>
      <c r="P53" s="16" t="s">
        <v>1055</v>
      </c>
      <c r="Q53" s="35">
        <v>46111.166666666664</v>
      </c>
      <c r="R53" s="16"/>
      <c r="V53" s="57" t="s">
        <v>1055</v>
      </c>
      <c r="W53" s="56">
        <f>UN80_Action_Plan__2_1[[#This Row],[Milestone Final Deadline]]</f>
        <v>46111</v>
      </c>
      <c r="X53" s="22"/>
      <c r="Y53" s="22"/>
      <c r="Z53" s="14" t="s">
        <v>786</v>
      </c>
      <c r="AA53" s="14">
        <v>18</v>
      </c>
      <c r="AB53" s="14">
        <v>91</v>
      </c>
      <c r="AC53" s="14">
        <f>IF(UN80_Action_Plan__2_1[[#This Row],[Action No]]=Table10[[#This Row],[Action No]],1,0)</f>
        <v>1</v>
      </c>
      <c r="AD53" s="14">
        <f t="shared" si="1"/>
        <v>1</v>
      </c>
      <c r="AH53" s="14" t="s">
        <v>1368</v>
      </c>
      <c r="AJ53" s="19" t="s">
        <v>1435</v>
      </c>
      <c r="AK53" s="80" t="s">
        <v>1436</v>
      </c>
      <c r="AL53" s="14" t="s">
        <v>1056</v>
      </c>
      <c r="AM53" s="14">
        <v>18</v>
      </c>
      <c r="AN53" s="14">
        <v>91</v>
      </c>
      <c r="AO53" s="14">
        <f>IF(UN80_Action_Plan__2_1[[#This Row],[Action No]]=Table8[[#This Row],[Action No]],1,0)</f>
        <v>1</v>
      </c>
      <c r="AP53" s="14"/>
      <c r="AQ53" s="14"/>
      <c r="AR53" s="14"/>
      <c r="AS53" s="14">
        <v>18</v>
      </c>
      <c r="AT53" s="14">
        <v>91</v>
      </c>
      <c r="AU53" s="14">
        <f>IF(UN80_Action_Plan__2_1[[#This Row],[Action No]]=Table9[[#This Row],[Action No]],1,0)</f>
        <v>1</v>
      </c>
    </row>
    <row r="54" spans="1:47" ht="89.5" customHeight="1">
      <c r="A54" s="14">
        <v>19</v>
      </c>
      <c r="B54" s="14" t="s">
        <v>325</v>
      </c>
      <c r="C54" s="14">
        <v>80</v>
      </c>
      <c r="D54" s="14" t="s">
        <v>326</v>
      </c>
      <c r="E54" s="16"/>
      <c r="F54" s="14" t="s">
        <v>1057</v>
      </c>
      <c r="G54" s="14" t="s">
        <v>1058</v>
      </c>
      <c r="H54" s="14" t="s">
        <v>1059</v>
      </c>
      <c r="I54" s="14" t="s">
        <v>1060</v>
      </c>
      <c r="J54" s="14" t="s">
        <v>1061</v>
      </c>
      <c r="K54" s="18">
        <v>46052</v>
      </c>
      <c r="L54" s="14" t="s">
        <v>1062</v>
      </c>
      <c r="M54" s="18">
        <v>46142</v>
      </c>
      <c r="N54" s="16" t="s">
        <v>564</v>
      </c>
      <c r="P54" s="16" t="s">
        <v>1063</v>
      </c>
      <c r="Q54" s="35">
        <v>46081.208333333336</v>
      </c>
      <c r="R54" s="16"/>
      <c r="V54" s="57" t="s">
        <v>1063</v>
      </c>
      <c r="W54" s="56">
        <v>46081</v>
      </c>
      <c r="X54" s="22"/>
      <c r="Y54" s="22"/>
      <c r="Z54" s="14" t="s">
        <v>786</v>
      </c>
      <c r="AA54" s="14">
        <v>19</v>
      </c>
      <c r="AB54" s="14">
        <v>80</v>
      </c>
      <c r="AC54" s="14">
        <f>IF(UN80_Action_Plan__2_1[[#This Row],[Action No]]=Table10[[#This Row],[Action No]],1,0)</f>
        <v>1</v>
      </c>
      <c r="AD54" s="14">
        <f t="shared" si="1"/>
        <v>1</v>
      </c>
      <c r="AK54" s="14" t="s">
        <v>1347</v>
      </c>
      <c r="AL54" s="14" t="s">
        <v>1064</v>
      </c>
      <c r="AM54" s="14">
        <v>19</v>
      </c>
      <c r="AN54" s="14">
        <v>80</v>
      </c>
      <c r="AO54" s="14">
        <f>IF(UN80_Action_Plan__2_1[[#This Row],[Action No]]=Table8[[#This Row],[Action No]],1,0)</f>
        <v>1</v>
      </c>
      <c r="AP54" s="14"/>
      <c r="AQ54" s="14"/>
      <c r="AR54" s="14"/>
      <c r="AS54" s="14">
        <v>19</v>
      </c>
      <c r="AT54" s="14">
        <v>80</v>
      </c>
      <c r="AU54" s="14">
        <f>IF(UN80_Action_Plan__2_1[[#This Row],[Action No]]=Table9[[#This Row],[Action No]],1,0)</f>
        <v>1</v>
      </c>
    </row>
    <row r="55" spans="1:47" ht="89.5" customHeight="1">
      <c r="A55" s="14">
        <v>19</v>
      </c>
      <c r="B55" s="14" t="s">
        <v>325</v>
      </c>
      <c r="C55" s="14">
        <v>81</v>
      </c>
      <c r="D55" s="14" t="s">
        <v>668</v>
      </c>
      <c r="E55" s="16"/>
      <c r="F55" s="14" t="s">
        <v>1057</v>
      </c>
      <c r="G55" s="14" t="s">
        <v>1058</v>
      </c>
      <c r="H55" s="14" t="s">
        <v>1059</v>
      </c>
      <c r="I55" s="14" t="s">
        <v>1065</v>
      </c>
      <c r="J55" s="14" t="s">
        <v>1066</v>
      </c>
      <c r="K55" s="18">
        <v>46112</v>
      </c>
      <c r="L55" s="14" t="s">
        <v>1067</v>
      </c>
      <c r="M55" s="18">
        <v>46264</v>
      </c>
      <c r="N55" s="16" t="s">
        <v>564</v>
      </c>
      <c r="P55" s="16" t="s">
        <v>1068</v>
      </c>
      <c r="Q55" s="35">
        <v>46112.166666666664</v>
      </c>
      <c r="R55" s="16"/>
      <c r="V55" s="14" t="s">
        <v>1069</v>
      </c>
      <c r="W55" s="56">
        <f>UN80_Action_Plan__2_1[[#This Row],[Milestone 1 Deadline]]</f>
        <v>46112</v>
      </c>
      <c r="X55" s="22"/>
      <c r="Y55" s="22"/>
      <c r="Z55" s="14" t="s">
        <v>786</v>
      </c>
      <c r="AA55" s="14">
        <v>19</v>
      </c>
      <c r="AB55" s="14">
        <v>81</v>
      </c>
      <c r="AC55" s="14">
        <f>IF(UN80_Action_Plan__2_1[[#This Row],[Action No]]=Table10[[#This Row],[Action No]],1,0)</f>
        <v>1</v>
      </c>
      <c r="AD55" s="14" t="str">
        <f t="shared" si="1"/>
        <v>Upcoming milestone mismatch</v>
      </c>
      <c r="AK55" s="14" t="s">
        <v>1348</v>
      </c>
      <c r="AL55" s="14" t="s">
        <v>1070</v>
      </c>
      <c r="AM55" s="14">
        <v>19</v>
      </c>
      <c r="AN55" s="14">
        <v>81</v>
      </c>
      <c r="AO55" s="14">
        <f>IF(UN80_Action_Plan__2_1[[#This Row],[Action No]]=Table8[[#This Row],[Action No]],1,0)</f>
        <v>1</v>
      </c>
      <c r="AP55" s="14"/>
      <c r="AQ55" s="14"/>
      <c r="AR55" s="14"/>
      <c r="AS55" s="14">
        <v>19</v>
      </c>
      <c r="AT55" s="14">
        <v>81</v>
      </c>
      <c r="AU55" s="14">
        <f>IF(UN80_Action_Plan__2_1[[#This Row],[Action No]]=Table9[[#This Row],[Action No]],1,0)</f>
        <v>1</v>
      </c>
    </row>
    <row r="56" spans="1:47" ht="89.5" customHeight="1">
      <c r="A56" s="14">
        <v>19</v>
      </c>
      <c r="B56" s="14" t="s">
        <v>325</v>
      </c>
      <c r="C56" s="14">
        <v>83</v>
      </c>
      <c r="D56" s="14" t="s">
        <v>333</v>
      </c>
      <c r="E56" s="16"/>
      <c r="F56" s="14" t="s">
        <v>1057</v>
      </c>
      <c r="G56" s="14" t="s">
        <v>1058</v>
      </c>
      <c r="H56" s="14" t="s">
        <v>1071</v>
      </c>
      <c r="I56" s="14" t="s">
        <v>1072</v>
      </c>
      <c r="J56" s="14" t="s">
        <v>673</v>
      </c>
      <c r="K56" s="18">
        <v>46112</v>
      </c>
      <c r="L56" s="14" t="s">
        <v>1062</v>
      </c>
      <c r="M56" s="18">
        <v>46142</v>
      </c>
      <c r="N56" s="16" t="s">
        <v>564</v>
      </c>
      <c r="P56" s="16" t="s">
        <v>1073</v>
      </c>
      <c r="Q56" s="35">
        <v>46112.166666666664</v>
      </c>
      <c r="R56" s="16"/>
      <c r="V56" s="14" t="s">
        <v>1073</v>
      </c>
      <c r="W56" s="56">
        <f>UN80_Action_Plan__2_1[[#This Row],[Milestone 1 Deadline]]</f>
        <v>46112</v>
      </c>
      <c r="X56" s="22"/>
      <c r="Y56" s="22"/>
      <c r="Z56" s="14" t="s">
        <v>786</v>
      </c>
      <c r="AA56" s="14">
        <v>19</v>
      </c>
      <c r="AB56" s="14">
        <v>83</v>
      </c>
      <c r="AC56" s="14">
        <f>IF(UN80_Action_Plan__2_1[[#This Row],[Action No]]=Table10[[#This Row],[Action No]],1,0)</f>
        <v>1</v>
      </c>
      <c r="AD56" s="14">
        <f t="shared" si="1"/>
        <v>1</v>
      </c>
      <c r="AK56" s="14" t="s">
        <v>1349</v>
      </c>
      <c r="AL56" s="14" t="s">
        <v>1074</v>
      </c>
      <c r="AM56" s="14">
        <v>19</v>
      </c>
      <c r="AN56" s="14">
        <v>83</v>
      </c>
      <c r="AO56" s="14">
        <f>IF(UN80_Action_Plan__2_1[[#This Row],[Action No]]=Table8[[#This Row],[Action No]],1,0)</f>
        <v>1</v>
      </c>
      <c r="AP56" s="14"/>
      <c r="AQ56" s="14"/>
      <c r="AR56" s="14"/>
      <c r="AS56" s="14">
        <v>19</v>
      </c>
      <c r="AT56" s="14">
        <v>83</v>
      </c>
      <c r="AU56" s="14">
        <f>IF(UN80_Action_Plan__2_1[[#This Row],[Action No]]=Table9[[#This Row],[Action No]],1,0)</f>
        <v>1</v>
      </c>
    </row>
    <row r="57" spans="1:47" ht="89.5" customHeight="1">
      <c r="A57" s="14">
        <v>20</v>
      </c>
      <c r="B57" s="14" t="s">
        <v>336</v>
      </c>
      <c r="C57" s="14">
        <v>88</v>
      </c>
      <c r="D57" s="14" t="s">
        <v>337</v>
      </c>
      <c r="E57" s="16"/>
      <c r="F57" s="14" t="s">
        <v>338</v>
      </c>
      <c r="G57" s="14" t="s">
        <v>1075</v>
      </c>
      <c r="H57" s="14" t="s">
        <v>1076</v>
      </c>
      <c r="I57" s="14" t="s">
        <v>1077</v>
      </c>
      <c r="J57" s="14" t="s">
        <v>1078</v>
      </c>
      <c r="K57" s="18">
        <v>46111</v>
      </c>
      <c r="L57" s="14" t="s">
        <v>1079</v>
      </c>
      <c r="M57" s="18">
        <v>46294</v>
      </c>
      <c r="N57" s="16" t="s">
        <v>564</v>
      </c>
      <c r="O57" s="14" t="s">
        <v>992</v>
      </c>
      <c r="P57" s="16" t="s">
        <v>1080</v>
      </c>
      <c r="Q57" s="35">
        <v>46111.166666666664</v>
      </c>
      <c r="R57" s="16"/>
      <c r="V57" s="57" t="s">
        <v>1081</v>
      </c>
      <c r="W57" s="56">
        <v>46111</v>
      </c>
      <c r="X57" s="22"/>
      <c r="Y57" s="22"/>
      <c r="Z57" s="14" t="s">
        <v>786</v>
      </c>
      <c r="AA57" s="14">
        <v>20</v>
      </c>
      <c r="AB57" s="14">
        <v>88</v>
      </c>
      <c r="AC57" s="14">
        <f>IF(UN80_Action_Plan__2_1[[#This Row],[Action No]]=Table10[[#This Row],[Action No]],1,0)</f>
        <v>1</v>
      </c>
      <c r="AD57" s="14" t="str">
        <f t="shared" si="1"/>
        <v>Upcoming milestone mismatch</v>
      </c>
      <c r="AI57" s="14" t="s">
        <v>1082</v>
      </c>
      <c r="AJ57" s="15" t="s">
        <v>1437</v>
      </c>
      <c r="AK57" s="14" t="s">
        <v>1438</v>
      </c>
      <c r="AM57" s="14">
        <v>20</v>
      </c>
      <c r="AN57" s="14">
        <v>88</v>
      </c>
      <c r="AO57" s="14">
        <f>IF(UN80_Action_Plan__2_1[[#This Row],[Action No]]=Table8[[#This Row],[Action No]],1,0)</f>
        <v>1</v>
      </c>
      <c r="AP57" s="14"/>
      <c r="AQ57" s="14"/>
      <c r="AR57" s="14"/>
      <c r="AS57" s="14">
        <v>20</v>
      </c>
      <c r="AT57" s="14">
        <v>88</v>
      </c>
      <c r="AU57" s="14">
        <f>IF(UN80_Action_Plan__2_1[[#This Row],[Action No]]=Table9[[#This Row],[Action No]],1,0)</f>
        <v>1</v>
      </c>
    </row>
    <row r="58" spans="1:47" ht="89.5" customHeight="1">
      <c r="A58" s="14">
        <v>20</v>
      </c>
      <c r="B58" s="14" t="s">
        <v>336</v>
      </c>
      <c r="C58" s="14">
        <v>89</v>
      </c>
      <c r="D58" s="14" t="s">
        <v>341</v>
      </c>
      <c r="E58" s="16"/>
      <c r="F58" s="14" t="s">
        <v>338</v>
      </c>
      <c r="G58" s="14" t="s">
        <v>1075</v>
      </c>
      <c r="H58" s="14" t="s">
        <v>1076</v>
      </c>
      <c r="I58" s="14" t="s">
        <v>1083</v>
      </c>
      <c r="J58" s="14" t="s">
        <v>1084</v>
      </c>
      <c r="K58" s="18">
        <v>46052</v>
      </c>
      <c r="L58" s="14" t="s">
        <v>1085</v>
      </c>
      <c r="M58" s="18">
        <v>46326</v>
      </c>
      <c r="N58" s="16" t="s">
        <v>564</v>
      </c>
      <c r="O58" s="14" t="s">
        <v>992</v>
      </c>
      <c r="P58" s="16" t="s">
        <v>1086</v>
      </c>
      <c r="Q58" s="35">
        <v>46052.208333333336</v>
      </c>
      <c r="R58" s="16"/>
      <c r="V58" s="14" t="s">
        <v>1086</v>
      </c>
      <c r="W58" s="56">
        <f>UN80_Action_Plan__2_1[[#This Row],[Milestone 1 Deadline]]</f>
        <v>46052</v>
      </c>
      <c r="X58" s="22"/>
      <c r="Y58" s="22"/>
      <c r="Z58" s="14" t="s">
        <v>786</v>
      </c>
      <c r="AA58" s="14">
        <v>20</v>
      </c>
      <c r="AB58" s="14">
        <v>89</v>
      </c>
      <c r="AC58" s="14">
        <f>IF(UN80_Action_Plan__2_1[[#This Row],[Action No]]=Table10[[#This Row],[Action No]],1,0)</f>
        <v>1</v>
      </c>
      <c r="AD58" s="14">
        <f t="shared" si="1"/>
        <v>1</v>
      </c>
      <c r="AJ58" s="15" t="s">
        <v>1439</v>
      </c>
      <c r="AK58" s="14" t="s">
        <v>1440</v>
      </c>
      <c r="AM58" s="14">
        <v>20</v>
      </c>
      <c r="AN58" s="14">
        <v>89</v>
      </c>
      <c r="AO58" s="14">
        <f>IF(UN80_Action_Plan__2_1[[#This Row],[Action No]]=Table8[[#This Row],[Action No]],1,0)</f>
        <v>1</v>
      </c>
      <c r="AP58" s="14"/>
      <c r="AQ58" s="14"/>
      <c r="AR58" s="14"/>
      <c r="AS58" s="14">
        <v>20</v>
      </c>
      <c r="AT58" s="14">
        <v>89</v>
      </c>
      <c r="AU58" s="14">
        <f>IF(UN80_Action_Plan__2_1[[#This Row],[Action No]]=Table9[[#This Row],[Action No]],1,0)</f>
        <v>1</v>
      </c>
    </row>
    <row r="59" spans="1:47" ht="89.5" customHeight="1">
      <c r="A59" s="14">
        <v>20</v>
      </c>
      <c r="B59" s="14" t="s">
        <v>336</v>
      </c>
      <c r="C59" s="14">
        <v>92</v>
      </c>
      <c r="D59" s="14" t="s">
        <v>344</v>
      </c>
      <c r="E59" s="16"/>
      <c r="F59" s="14" t="s">
        <v>338</v>
      </c>
      <c r="G59" s="14" t="s">
        <v>1075</v>
      </c>
      <c r="H59" s="14" t="s">
        <v>1076</v>
      </c>
      <c r="I59" s="14" t="s">
        <v>1083</v>
      </c>
      <c r="J59" s="14" t="s">
        <v>1084</v>
      </c>
      <c r="K59" s="18">
        <v>46053</v>
      </c>
      <c r="L59" s="14" t="s">
        <v>1085</v>
      </c>
      <c r="M59" s="18">
        <v>46326</v>
      </c>
      <c r="N59" s="16" t="s">
        <v>564</v>
      </c>
      <c r="P59" s="16" t="s">
        <v>1086</v>
      </c>
      <c r="Q59" s="35">
        <v>46326.166666666664</v>
      </c>
      <c r="R59" s="16"/>
      <c r="V59" s="57" t="s">
        <v>1086</v>
      </c>
      <c r="W59" s="56">
        <f>UN80_Action_Plan__2_1[[#This Row],[Milestone Final Deadline]]</f>
        <v>46326</v>
      </c>
      <c r="X59" s="22"/>
      <c r="Y59" s="22"/>
      <c r="Z59" s="14" t="s">
        <v>786</v>
      </c>
      <c r="AA59" s="14">
        <v>20</v>
      </c>
      <c r="AB59" s="14">
        <v>92</v>
      </c>
      <c r="AC59" s="14">
        <f>IF(UN80_Action_Plan__2_1[[#This Row],[Action No]]=Table10[[#This Row],[Action No]],1,0)</f>
        <v>1</v>
      </c>
      <c r="AD59" s="14">
        <f t="shared" si="1"/>
        <v>1</v>
      </c>
      <c r="AI59" s="14" t="s">
        <v>1087</v>
      </c>
      <c r="AJ59" s="15" t="s">
        <v>1441</v>
      </c>
      <c r="AK59" s="14" t="s">
        <v>1442</v>
      </c>
      <c r="AM59" s="14">
        <v>20</v>
      </c>
      <c r="AN59" s="14">
        <v>92</v>
      </c>
      <c r="AO59" s="14">
        <f>IF(UN80_Action_Plan__2_1[[#This Row],[Action No]]=Table8[[#This Row],[Action No]],1,0)</f>
        <v>1</v>
      </c>
      <c r="AP59" s="14"/>
      <c r="AQ59" s="14"/>
      <c r="AR59" s="14"/>
      <c r="AS59" s="14">
        <v>20</v>
      </c>
      <c r="AT59" s="14">
        <v>92</v>
      </c>
      <c r="AU59" s="14">
        <f>IF(UN80_Action_Plan__2_1[[#This Row],[Action No]]=Table9[[#This Row],[Action No]],1,0)</f>
        <v>1</v>
      </c>
    </row>
    <row r="60" spans="1:47" ht="89.5" customHeight="1">
      <c r="A60" s="14">
        <v>21</v>
      </c>
      <c r="B60" s="14" t="s">
        <v>347</v>
      </c>
      <c r="C60" s="14">
        <v>93</v>
      </c>
      <c r="D60" s="14" t="s">
        <v>348</v>
      </c>
      <c r="E60" s="16"/>
      <c r="F60" s="14" t="s">
        <v>349</v>
      </c>
      <c r="G60" s="14" t="s">
        <v>1088</v>
      </c>
      <c r="H60" s="14" t="s">
        <v>352</v>
      </c>
      <c r="I60" s="14" t="s">
        <v>1089</v>
      </c>
      <c r="J60" s="14" t="s">
        <v>675</v>
      </c>
      <c r="K60" s="18">
        <v>46052</v>
      </c>
      <c r="L60" s="14" t="s">
        <v>676</v>
      </c>
      <c r="M60" s="18">
        <v>46172</v>
      </c>
      <c r="N60" s="16" t="s">
        <v>564</v>
      </c>
      <c r="P60" s="16" t="s">
        <v>1090</v>
      </c>
      <c r="Q60" s="35">
        <v>46172.166666666664</v>
      </c>
      <c r="R60" s="16"/>
      <c r="V60" s="23" t="s">
        <v>1091</v>
      </c>
      <c r="W60" s="56">
        <f>UN80_Action_Plan__2_1[[#This Row],[Milestone Final Deadline]]</f>
        <v>46172</v>
      </c>
      <c r="X60" s="22"/>
      <c r="Y60" s="22"/>
      <c r="Z60" s="14" t="s">
        <v>786</v>
      </c>
      <c r="AA60" s="14">
        <v>21</v>
      </c>
      <c r="AB60" s="14">
        <v>93</v>
      </c>
      <c r="AC60" s="14">
        <f>IF(UN80_Action_Plan__2_1[[#This Row],[Action No]]=Table10[[#This Row],[Action No]],1,0)</f>
        <v>1</v>
      </c>
      <c r="AD60" s="14" t="str">
        <f t="shared" si="1"/>
        <v>Upcoming milestone mismatch</v>
      </c>
      <c r="AI60" s="14" t="s">
        <v>1092</v>
      </c>
      <c r="AJ60" s="14" t="s">
        <v>1093</v>
      </c>
      <c r="AK60" s="15" t="s">
        <v>1443</v>
      </c>
      <c r="AL60" s="14" t="s">
        <v>1094</v>
      </c>
      <c r="AM60" s="14">
        <v>21</v>
      </c>
      <c r="AN60" s="14">
        <v>93</v>
      </c>
      <c r="AO60" s="14">
        <f>IF(UN80_Action_Plan__2_1[[#This Row],[Action No]]=Table8[[#This Row],[Action No]],1,0)</f>
        <v>1</v>
      </c>
      <c r="AP60" s="14"/>
      <c r="AQ60" s="14"/>
      <c r="AR60" s="14"/>
      <c r="AS60" s="14">
        <v>21</v>
      </c>
      <c r="AT60" s="14">
        <v>93</v>
      </c>
      <c r="AU60" s="14">
        <f>IF(UN80_Action_Plan__2_1[[#This Row],[Action No]]=Table9[[#This Row],[Action No]],1,0)</f>
        <v>1</v>
      </c>
    </row>
    <row r="61" spans="1:47" ht="89.5" customHeight="1">
      <c r="A61" s="14">
        <v>22</v>
      </c>
      <c r="B61" s="14" t="s">
        <v>356</v>
      </c>
      <c r="C61" s="14">
        <v>1</v>
      </c>
      <c r="D61" s="14" t="s">
        <v>357</v>
      </c>
      <c r="E61" s="16"/>
      <c r="F61" s="14" t="s">
        <v>780</v>
      </c>
      <c r="G61" s="14" t="s">
        <v>1095</v>
      </c>
      <c r="H61" s="14" t="s">
        <v>1096</v>
      </c>
      <c r="I61" s="14" t="s">
        <v>789</v>
      </c>
      <c r="J61" s="14" t="s">
        <v>679</v>
      </c>
      <c r="K61" s="18">
        <v>46022</v>
      </c>
      <c r="L61" s="14" t="s">
        <v>679</v>
      </c>
      <c r="M61" s="18">
        <v>46022</v>
      </c>
      <c r="N61" s="16" t="s">
        <v>564</v>
      </c>
      <c r="P61" s="16" t="s">
        <v>926</v>
      </c>
      <c r="Q61" s="35"/>
      <c r="R61" s="16" t="s">
        <v>1097</v>
      </c>
      <c r="V61" s="19" t="s">
        <v>926</v>
      </c>
      <c r="W61" s="56"/>
      <c r="X61" s="23" t="s">
        <v>1097</v>
      </c>
      <c r="Y61" s="21"/>
      <c r="Z61" s="14" t="s">
        <v>786</v>
      </c>
      <c r="AA61" s="14">
        <v>22</v>
      </c>
      <c r="AB61" s="14">
        <v>1</v>
      </c>
      <c r="AC61" s="14">
        <f>IF(UN80_Action_Plan__2_1[[#This Row],[Action No]]=Table10[[#This Row],[Action No]],1,0)</f>
        <v>1</v>
      </c>
      <c r="AD61" s="14">
        <f t="shared" si="1"/>
        <v>1</v>
      </c>
      <c r="AJ61" s="14" t="s">
        <v>1098</v>
      </c>
      <c r="AL61" s="14" t="s">
        <v>1099</v>
      </c>
      <c r="AM61" s="14">
        <v>22</v>
      </c>
      <c r="AN61" s="14">
        <v>1</v>
      </c>
      <c r="AO61" s="14">
        <f>IF(UN80_Action_Plan__2_1[[#This Row],[Action No]]=Table8[[#This Row],[Action No]],1,0)</f>
        <v>1</v>
      </c>
      <c r="AP61" s="14"/>
      <c r="AQ61" s="14"/>
      <c r="AR61" s="14" t="s">
        <v>788</v>
      </c>
      <c r="AS61" s="14">
        <v>22</v>
      </c>
      <c r="AT61" s="14">
        <v>1</v>
      </c>
      <c r="AU61" s="14">
        <f>IF(UN80_Action_Plan__2_1[[#This Row],[Action No]]=Table9[[#This Row],[Action No]],1,0)</f>
        <v>1</v>
      </c>
    </row>
    <row r="62" spans="1:47" ht="89.5" customHeight="1">
      <c r="A62" s="14">
        <v>22</v>
      </c>
      <c r="B62" s="14" t="s">
        <v>356</v>
      </c>
      <c r="C62" s="14">
        <v>2</v>
      </c>
      <c r="D62" s="14" t="s">
        <v>360</v>
      </c>
      <c r="E62" s="16"/>
      <c r="F62" s="14" t="s">
        <v>780</v>
      </c>
      <c r="G62" s="14" t="s">
        <v>1100</v>
      </c>
      <c r="H62" s="14" t="s">
        <v>1101</v>
      </c>
      <c r="I62" s="14" t="s">
        <v>789</v>
      </c>
      <c r="J62" s="14" t="s">
        <v>681</v>
      </c>
      <c r="K62" s="18">
        <v>46022</v>
      </c>
      <c r="L62" s="14" t="s">
        <v>681</v>
      </c>
      <c r="M62" s="18">
        <v>46022</v>
      </c>
      <c r="N62" s="16" t="s">
        <v>564</v>
      </c>
      <c r="P62" s="16" t="s">
        <v>926</v>
      </c>
      <c r="Q62" s="35"/>
      <c r="R62" s="16" t="s">
        <v>1097</v>
      </c>
      <c r="V62" s="19" t="s">
        <v>926</v>
      </c>
      <c r="W62" s="56"/>
      <c r="X62" s="23" t="s">
        <v>1097</v>
      </c>
      <c r="Y62" s="21"/>
      <c r="Z62" s="14" t="s">
        <v>786</v>
      </c>
      <c r="AA62" s="14">
        <v>22</v>
      </c>
      <c r="AB62" s="14">
        <v>2</v>
      </c>
      <c r="AC62" s="14">
        <f>IF(UN80_Action_Plan__2_1[[#This Row],[Action No]]=Table10[[#This Row],[Action No]],1,0)</f>
        <v>1</v>
      </c>
      <c r="AD62" s="14">
        <f t="shared" si="1"/>
        <v>1</v>
      </c>
      <c r="AJ62" s="14" t="s">
        <v>1102</v>
      </c>
      <c r="AL62" s="14" t="s">
        <v>1102</v>
      </c>
      <c r="AM62" s="14">
        <v>22</v>
      </c>
      <c r="AN62" s="14">
        <v>2</v>
      </c>
      <c r="AO62" s="14">
        <f>IF(UN80_Action_Plan__2_1[[#This Row],[Action No]]=Table8[[#This Row],[Action No]],1,0)</f>
        <v>1</v>
      </c>
      <c r="AP62" s="14"/>
      <c r="AQ62" s="14"/>
      <c r="AR62" s="14" t="s">
        <v>788</v>
      </c>
      <c r="AS62" s="14">
        <v>22</v>
      </c>
      <c r="AT62" s="14">
        <v>2</v>
      </c>
      <c r="AU62" s="14">
        <f>IF(UN80_Action_Plan__2_1[[#This Row],[Action No]]=Table9[[#This Row],[Action No]],1,0)</f>
        <v>1</v>
      </c>
    </row>
    <row r="63" spans="1:47" ht="89.5" customHeight="1">
      <c r="A63" s="14">
        <v>22</v>
      </c>
      <c r="B63" s="14" t="s">
        <v>356</v>
      </c>
      <c r="C63" s="14">
        <v>3</v>
      </c>
      <c r="D63" s="14" t="s">
        <v>363</v>
      </c>
      <c r="E63" s="16"/>
      <c r="F63" s="14" t="s">
        <v>780</v>
      </c>
      <c r="G63" s="14" t="s">
        <v>1095</v>
      </c>
      <c r="H63" s="14" t="s">
        <v>1103</v>
      </c>
      <c r="I63" s="14" t="s">
        <v>789</v>
      </c>
      <c r="J63" s="14" t="s">
        <v>683</v>
      </c>
      <c r="K63" s="18">
        <v>46111</v>
      </c>
      <c r="L63" s="14" t="s">
        <v>684</v>
      </c>
      <c r="M63" s="18">
        <v>46386</v>
      </c>
      <c r="N63" s="16" t="s">
        <v>522</v>
      </c>
      <c r="O63" s="14" t="s">
        <v>634</v>
      </c>
      <c r="P63" s="16" t="s">
        <v>1104</v>
      </c>
      <c r="Q63" s="35">
        <v>46111.166666666664</v>
      </c>
      <c r="R63" s="16"/>
      <c r="V63" s="57" t="s">
        <v>1104</v>
      </c>
      <c r="W63" s="56">
        <v>46111</v>
      </c>
      <c r="X63" s="22"/>
      <c r="Y63" s="21"/>
      <c r="Z63" s="14" t="s">
        <v>786</v>
      </c>
      <c r="AA63" s="14">
        <v>22</v>
      </c>
      <c r="AB63" s="14">
        <v>3</v>
      </c>
      <c r="AC63" s="14">
        <f>IF(UN80_Action_Plan__2_1[[#This Row],[Action No]]=Table10[[#This Row],[Action No]],1,0)</f>
        <v>1</v>
      </c>
      <c r="AD63" s="14">
        <f t="shared" si="1"/>
        <v>1</v>
      </c>
      <c r="AJ63" s="14" t="s">
        <v>1105</v>
      </c>
      <c r="AL63" s="14" t="s">
        <v>1106</v>
      </c>
      <c r="AM63" s="14">
        <v>22</v>
      </c>
      <c r="AN63" s="14">
        <v>3</v>
      </c>
      <c r="AO63" s="14">
        <f>IF(UN80_Action_Plan__2_1[[#This Row],[Action No]]=Table8[[#This Row],[Action No]],1,0)</f>
        <v>1</v>
      </c>
      <c r="AP63" s="14"/>
      <c r="AQ63" s="14"/>
      <c r="AR63" s="14" t="s">
        <v>788</v>
      </c>
      <c r="AS63" s="14">
        <v>22</v>
      </c>
      <c r="AT63" s="14">
        <v>3</v>
      </c>
      <c r="AU63" s="14">
        <f>IF(UN80_Action_Plan__2_1[[#This Row],[Action No]]=Table9[[#This Row],[Action No]],1,0)</f>
        <v>1</v>
      </c>
    </row>
    <row r="64" spans="1:47" ht="89.5" customHeight="1">
      <c r="A64" s="14">
        <v>22</v>
      </c>
      <c r="B64" s="14" t="s">
        <v>356</v>
      </c>
      <c r="C64" s="14">
        <v>6</v>
      </c>
      <c r="D64" s="14" t="s">
        <v>366</v>
      </c>
      <c r="E64" s="16"/>
      <c r="F64" s="14" t="s">
        <v>780</v>
      </c>
      <c r="G64" s="14" t="s">
        <v>1095</v>
      </c>
      <c r="H64" s="14" t="s">
        <v>1107</v>
      </c>
      <c r="I64" s="14" t="s">
        <v>789</v>
      </c>
      <c r="J64" s="14" t="s">
        <v>686</v>
      </c>
      <c r="K64" s="18">
        <v>46022</v>
      </c>
      <c r="L64" s="14" t="s">
        <v>686</v>
      </c>
      <c r="M64" s="18">
        <v>46022</v>
      </c>
      <c r="N64" s="16" t="s">
        <v>564</v>
      </c>
      <c r="P64" s="16" t="s">
        <v>926</v>
      </c>
      <c r="Q64" s="35"/>
      <c r="R64" s="16" t="s">
        <v>1097</v>
      </c>
      <c r="V64" s="19" t="s">
        <v>926</v>
      </c>
      <c r="W64" s="56"/>
      <c r="X64" s="23" t="s">
        <v>1097</v>
      </c>
      <c r="Y64" s="21"/>
      <c r="Z64" s="14" t="s">
        <v>786</v>
      </c>
      <c r="AA64" s="14">
        <v>22</v>
      </c>
      <c r="AB64" s="14">
        <v>6</v>
      </c>
      <c r="AC64" s="14">
        <f>IF(UN80_Action_Plan__2_1[[#This Row],[Action No]]=Table10[[#This Row],[Action No]],1,0)</f>
        <v>1</v>
      </c>
      <c r="AD64" s="14">
        <f t="shared" si="1"/>
        <v>1</v>
      </c>
      <c r="AJ64" s="14" t="s">
        <v>1108</v>
      </c>
      <c r="AL64" s="14" t="s">
        <v>1108</v>
      </c>
      <c r="AM64" s="14">
        <v>22</v>
      </c>
      <c r="AN64" s="14">
        <v>6</v>
      </c>
      <c r="AO64" s="14">
        <f>IF(UN80_Action_Plan__2_1[[#This Row],[Action No]]=Table8[[#This Row],[Action No]],1,0)</f>
        <v>1</v>
      </c>
      <c r="AP64" s="14"/>
      <c r="AQ64" s="14"/>
      <c r="AR64" s="14" t="s">
        <v>788</v>
      </c>
      <c r="AS64" s="14">
        <v>22</v>
      </c>
      <c r="AT64" s="14">
        <v>6</v>
      </c>
      <c r="AU64" s="14">
        <f>IF(UN80_Action_Plan__2_1[[#This Row],[Action No]]=Table9[[#This Row],[Action No]],1,0)</f>
        <v>1</v>
      </c>
    </row>
    <row r="65" spans="1:47" ht="89.5" customHeight="1">
      <c r="A65" s="14">
        <v>22</v>
      </c>
      <c r="B65" s="14" t="s">
        <v>356</v>
      </c>
      <c r="C65" s="14">
        <v>7</v>
      </c>
      <c r="D65" s="14" t="s">
        <v>369</v>
      </c>
      <c r="E65" s="16"/>
      <c r="F65" s="14" t="s">
        <v>780</v>
      </c>
      <c r="G65" s="14" t="s">
        <v>1095</v>
      </c>
      <c r="H65" s="14" t="s">
        <v>1109</v>
      </c>
      <c r="I65" s="14" t="s">
        <v>789</v>
      </c>
      <c r="J65" s="14" t="s">
        <v>688</v>
      </c>
      <c r="K65" s="18">
        <v>46022</v>
      </c>
      <c r="L65" s="14" t="s">
        <v>688</v>
      </c>
      <c r="M65" s="18">
        <v>46022</v>
      </c>
      <c r="N65" s="16" t="s">
        <v>564</v>
      </c>
      <c r="P65" s="16" t="s">
        <v>926</v>
      </c>
      <c r="Q65" s="35"/>
      <c r="R65" s="16" t="s">
        <v>1097</v>
      </c>
      <c r="V65" s="19" t="s">
        <v>926</v>
      </c>
      <c r="W65" s="78"/>
      <c r="X65" s="23" t="s">
        <v>1097</v>
      </c>
      <c r="Y65" s="21"/>
      <c r="Z65" s="14" t="s">
        <v>786</v>
      </c>
      <c r="AA65" s="14">
        <v>22</v>
      </c>
      <c r="AB65" s="14">
        <v>7</v>
      </c>
      <c r="AC65" s="14">
        <f>IF(UN80_Action_Plan__2_1[[#This Row],[Action No]]=Table10[[#This Row],[Action No]],1,0)</f>
        <v>1</v>
      </c>
      <c r="AD65" s="14">
        <f t="shared" si="1"/>
        <v>1</v>
      </c>
      <c r="AJ65" s="14" t="s">
        <v>1110</v>
      </c>
      <c r="AL65" s="14" t="s">
        <v>1110</v>
      </c>
      <c r="AM65" s="14">
        <v>22</v>
      </c>
      <c r="AN65" s="14">
        <v>7</v>
      </c>
      <c r="AO65" s="14">
        <f>IF(UN80_Action_Plan__2_1[[#This Row],[Action No]]=Table8[[#This Row],[Action No]],1,0)</f>
        <v>1</v>
      </c>
      <c r="AP65" s="14"/>
      <c r="AQ65" s="14"/>
      <c r="AR65" s="14" t="s">
        <v>788</v>
      </c>
      <c r="AS65" s="14">
        <v>22</v>
      </c>
      <c r="AT65" s="14">
        <v>7</v>
      </c>
      <c r="AU65" s="14">
        <f>IF(UN80_Action_Plan__2_1[[#This Row],[Action No]]=Table9[[#This Row],[Action No]],1,0)</f>
        <v>1</v>
      </c>
    </row>
    <row r="66" spans="1:47" ht="89.5" customHeight="1">
      <c r="A66" s="14">
        <v>22</v>
      </c>
      <c r="B66" s="14" t="s">
        <v>356</v>
      </c>
      <c r="C66" s="14">
        <v>8</v>
      </c>
      <c r="D66" s="14" t="s">
        <v>372</v>
      </c>
      <c r="E66" s="16"/>
      <c r="F66" s="14" t="s">
        <v>780</v>
      </c>
      <c r="G66" s="14" t="s">
        <v>1111</v>
      </c>
      <c r="H66" s="14" t="s">
        <v>1112</v>
      </c>
      <c r="I66" s="14" t="s">
        <v>789</v>
      </c>
      <c r="J66" s="14" t="s">
        <v>691</v>
      </c>
      <c r="K66" s="18">
        <v>46052</v>
      </c>
      <c r="L66" s="14" t="s">
        <v>692</v>
      </c>
      <c r="M66" s="18">
        <v>46386</v>
      </c>
      <c r="N66" s="16" t="s">
        <v>522</v>
      </c>
      <c r="O66" s="14" t="s">
        <v>634</v>
      </c>
      <c r="P66" s="16" t="s">
        <v>981</v>
      </c>
      <c r="Q66" s="35"/>
      <c r="R66" s="16"/>
      <c r="V66" s="77" t="s">
        <v>981</v>
      </c>
      <c r="W66" s="56"/>
      <c r="X66" s="23"/>
      <c r="Y66" s="21"/>
      <c r="Z66" s="14" t="s">
        <v>786</v>
      </c>
      <c r="AA66" s="14">
        <v>22</v>
      </c>
      <c r="AB66" s="14">
        <v>8</v>
      </c>
      <c r="AC66" s="14">
        <f>IF(UN80_Action_Plan__2_1[[#This Row],[Action No]]=Table10[[#This Row],[Action No]],1,0)</f>
        <v>1</v>
      </c>
      <c r="AD66" s="14">
        <f t="shared" si="1"/>
        <v>1</v>
      </c>
      <c r="AJ66" s="14" t="s">
        <v>1113</v>
      </c>
      <c r="AL66" s="14" t="s">
        <v>1114</v>
      </c>
      <c r="AM66" s="14">
        <v>22</v>
      </c>
      <c r="AN66" s="14">
        <v>8</v>
      </c>
      <c r="AO66" s="14">
        <f>IF(UN80_Action_Plan__2_1[[#This Row],[Action No]]=Table8[[#This Row],[Action No]],1,0)</f>
        <v>1</v>
      </c>
      <c r="AP66" s="14"/>
      <c r="AQ66" s="14"/>
      <c r="AR66" s="14" t="s">
        <v>788</v>
      </c>
      <c r="AS66" s="14">
        <v>22</v>
      </c>
      <c r="AT66" s="14">
        <v>8</v>
      </c>
      <c r="AU66" s="14">
        <f>IF(UN80_Action_Plan__2_1[[#This Row],[Action No]]=Table9[[#This Row],[Action No]],1,0)</f>
        <v>1</v>
      </c>
    </row>
    <row r="67" spans="1:47" ht="89.5" customHeight="1">
      <c r="A67" s="14">
        <v>22</v>
      </c>
      <c r="B67" s="14" t="s">
        <v>356</v>
      </c>
      <c r="C67" s="14">
        <v>9</v>
      </c>
      <c r="D67" s="14" t="s">
        <v>375</v>
      </c>
      <c r="E67" s="16"/>
      <c r="F67" s="14" t="s">
        <v>780</v>
      </c>
      <c r="G67" s="14" t="s">
        <v>1115</v>
      </c>
      <c r="H67" s="14" t="s">
        <v>1116</v>
      </c>
      <c r="I67" s="14" t="s">
        <v>789</v>
      </c>
      <c r="J67" s="14" t="s">
        <v>695</v>
      </c>
      <c r="K67" s="18">
        <v>46111</v>
      </c>
      <c r="L67" s="14" t="s">
        <v>692</v>
      </c>
      <c r="M67" s="18">
        <v>46386</v>
      </c>
      <c r="N67" s="16" t="s">
        <v>522</v>
      </c>
      <c r="O67" s="14" t="s">
        <v>634</v>
      </c>
      <c r="P67" s="16" t="s">
        <v>981</v>
      </c>
      <c r="Q67" s="35"/>
      <c r="R67" s="16"/>
      <c r="V67" s="16" t="s">
        <v>981</v>
      </c>
      <c r="W67" s="56"/>
      <c r="X67" s="22"/>
      <c r="Y67" s="21"/>
      <c r="Z67" s="14" t="s">
        <v>786</v>
      </c>
      <c r="AA67" s="14">
        <v>22</v>
      </c>
      <c r="AB67" s="14">
        <v>9</v>
      </c>
      <c r="AC67" s="14">
        <f>IF(UN80_Action_Plan__2_1[[#This Row],[Action No]]=Table10[[#This Row],[Action No]],1,0)</f>
        <v>1</v>
      </c>
      <c r="AD67" s="14">
        <f t="shared" si="1"/>
        <v>1</v>
      </c>
      <c r="AJ67" s="14" t="s">
        <v>1117</v>
      </c>
      <c r="AL67" s="14" t="s">
        <v>1118</v>
      </c>
      <c r="AM67" s="14">
        <v>22</v>
      </c>
      <c r="AN67" s="14">
        <v>9</v>
      </c>
      <c r="AO67" s="14">
        <f>IF(UN80_Action_Plan__2_1[[#This Row],[Action No]]=Table8[[#This Row],[Action No]],1,0)</f>
        <v>1</v>
      </c>
      <c r="AP67" s="14"/>
      <c r="AQ67" s="14"/>
      <c r="AR67" s="14" t="s">
        <v>788</v>
      </c>
      <c r="AS67" s="14">
        <v>22</v>
      </c>
      <c r="AT67" s="14">
        <v>9</v>
      </c>
      <c r="AU67" s="14">
        <f>IF(UN80_Action_Plan__2_1[[#This Row],[Action No]]=Table9[[#This Row],[Action No]],1,0)</f>
        <v>1</v>
      </c>
    </row>
    <row r="68" spans="1:47" ht="89.5" customHeight="1">
      <c r="A68" s="14">
        <v>22</v>
      </c>
      <c r="B68" s="14" t="s">
        <v>356</v>
      </c>
      <c r="C68" s="14">
        <v>10</v>
      </c>
      <c r="D68" s="14" t="s">
        <v>378</v>
      </c>
      <c r="E68" s="16"/>
      <c r="F68" s="14" t="s">
        <v>780</v>
      </c>
      <c r="G68" s="14" t="s">
        <v>1095</v>
      </c>
      <c r="H68" s="14" t="s">
        <v>1119</v>
      </c>
      <c r="I68" s="14" t="s">
        <v>789</v>
      </c>
      <c r="J68" s="14" t="s">
        <v>697</v>
      </c>
      <c r="K68" s="18">
        <v>46022</v>
      </c>
      <c r="L68" s="14" t="s">
        <v>698</v>
      </c>
      <c r="M68" s="18">
        <v>46386</v>
      </c>
      <c r="N68" s="16" t="s">
        <v>522</v>
      </c>
      <c r="O68" s="14" t="s">
        <v>634</v>
      </c>
      <c r="P68" s="16" t="s">
        <v>926</v>
      </c>
      <c r="Q68" s="35"/>
      <c r="R68" s="16" t="s">
        <v>1097</v>
      </c>
      <c r="V68" s="19" t="s">
        <v>926</v>
      </c>
      <c r="W68" s="56"/>
      <c r="X68" s="23" t="s">
        <v>1097</v>
      </c>
      <c r="Y68" s="21"/>
      <c r="Z68" s="14" t="s">
        <v>786</v>
      </c>
      <c r="AA68" s="14">
        <v>22</v>
      </c>
      <c r="AB68" s="14">
        <v>10</v>
      </c>
      <c r="AC68" s="14">
        <f>IF(UN80_Action_Plan__2_1[[#This Row],[Action No]]=Table10[[#This Row],[Action No]],1,0)</f>
        <v>1</v>
      </c>
      <c r="AD68" s="14">
        <f t="shared" si="1"/>
        <v>1</v>
      </c>
      <c r="AJ68" s="14" t="s">
        <v>1120</v>
      </c>
      <c r="AL68" s="14" t="s">
        <v>1121</v>
      </c>
      <c r="AM68" s="14">
        <v>22</v>
      </c>
      <c r="AN68" s="14">
        <v>10</v>
      </c>
      <c r="AO68" s="14">
        <f>IF(UN80_Action_Plan__2_1[[#This Row],[Action No]]=Table8[[#This Row],[Action No]],1,0)</f>
        <v>1</v>
      </c>
      <c r="AP68" s="14"/>
      <c r="AQ68" s="14"/>
      <c r="AR68" s="14" t="s">
        <v>788</v>
      </c>
      <c r="AS68" s="14">
        <v>22</v>
      </c>
      <c r="AT68" s="14">
        <v>10</v>
      </c>
      <c r="AU68" s="14">
        <f>IF(UN80_Action_Plan__2_1[[#This Row],[Action No]]=Table9[[#This Row],[Action No]],1,0)</f>
        <v>1</v>
      </c>
    </row>
    <row r="69" spans="1:47" ht="89.5" customHeight="1">
      <c r="A69" s="14">
        <v>22</v>
      </c>
      <c r="B69" s="14" t="s">
        <v>356</v>
      </c>
      <c r="C69" s="14">
        <v>11</v>
      </c>
      <c r="D69" s="14" t="s">
        <v>381</v>
      </c>
      <c r="E69" s="16"/>
      <c r="F69" s="14" t="s">
        <v>780</v>
      </c>
      <c r="G69" s="14" t="s">
        <v>1095</v>
      </c>
      <c r="H69" s="14" t="s">
        <v>1122</v>
      </c>
      <c r="I69" s="14" t="s">
        <v>789</v>
      </c>
      <c r="J69" s="14" t="s">
        <v>701</v>
      </c>
      <c r="K69" s="18">
        <v>46022</v>
      </c>
      <c r="L69" s="14" t="s">
        <v>702</v>
      </c>
      <c r="M69" s="18">
        <v>46386</v>
      </c>
      <c r="N69" s="16" t="s">
        <v>522</v>
      </c>
      <c r="O69" s="14" t="s">
        <v>634</v>
      </c>
      <c r="P69" s="16" t="s">
        <v>926</v>
      </c>
      <c r="Q69" s="53"/>
      <c r="R69" s="16" t="s">
        <v>1097</v>
      </c>
      <c r="V69" s="19" t="s">
        <v>926</v>
      </c>
      <c r="W69" s="56"/>
      <c r="X69" s="23" t="s">
        <v>1097</v>
      </c>
      <c r="Y69" s="21"/>
      <c r="Z69" s="14" t="s">
        <v>786</v>
      </c>
      <c r="AA69" s="14">
        <v>22</v>
      </c>
      <c r="AB69" s="14">
        <v>11</v>
      </c>
      <c r="AC69" s="14">
        <f>IF(UN80_Action_Plan__2_1[[#This Row],[Action No]]=Table10[[#This Row],[Action No]],1,0)</f>
        <v>1</v>
      </c>
      <c r="AD69" s="14">
        <f t="shared" si="1"/>
        <v>1</v>
      </c>
      <c r="AJ69" s="14" t="s">
        <v>1123</v>
      </c>
      <c r="AL69" s="14" t="s">
        <v>1124</v>
      </c>
      <c r="AM69" s="14">
        <v>22</v>
      </c>
      <c r="AN69" s="14">
        <v>11</v>
      </c>
      <c r="AO69" s="14">
        <f>IF(UN80_Action_Plan__2_1[[#This Row],[Action No]]=Table8[[#This Row],[Action No]],1,0)</f>
        <v>1</v>
      </c>
      <c r="AP69" s="14"/>
      <c r="AQ69" s="14"/>
      <c r="AR69" s="14" t="s">
        <v>788</v>
      </c>
      <c r="AS69" s="14">
        <v>22</v>
      </c>
      <c r="AT69" s="14">
        <v>11</v>
      </c>
      <c r="AU69" s="14">
        <f>IF(UN80_Action_Plan__2_1[[#This Row],[Action No]]=Table9[[#This Row],[Action No]],1,0)</f>
        <v>1</v>
      </c>
    </row>
    <row r="70" spans="1:47" ht="89.5" customHeight="1">
      <c r="A70" s="14">
        <v>22</v>
      </c>
      <c r="B70" s="14" t="s">
        <v>356</v>
      </c>
      <c r="C70" s="14">
        <v>49</v>
      </c>
      <c r="D70" s="14" t="s">
        <v>384</v>
      </c>
      <c r="E70" s="16"/>
      <c r="F70" s="14" t="s">
        <v>780</v>
      </c>
      <c r="G70" s="14" t="s">
        <v>1095</v>
      </c>
      <c r="H70" s="14" t="s">
        <v>1125</v>
      </c>
      <c r="I70" s="14" t="s">
        <v>789</v>
      </c>
      <c r="J70" s="14" t="s">
        <v>704</v>
      </c>
      <c r="K70" s="18">
        <v>46111</v>
      </c>
      <c r="L70" s="14" t="s">
        <v>705</v>
      </c>
      <c r="M70" s="18">
        <v>46386</v>
      </c>
      <c r="N70" s="16" t="s">
        <v>522</v>
      </c>
      <c r="O70" s="14" t="s">
        <v>634</v>
      </c>
      <c r="P70" s="16" t="s">
        <v>1126</v>
      </c>
      <c r="Q70" s="35">
        <v>46111.166666666664</v>
      </c>
      <c r="R70" s="16"/>
      <c r="V70" s="57" t="s">
        <v>1126</v>
      </c>
      <c r="W70" s="56">
        <v>46111</v>
      </c>
      <c r="X70" s="22"/>
      <c r="Y70" s="22"/>
      <c r="Z70" s="14" t="s">
        <v>786</v>
      </c>
      <c r="AA70" s="14">
        <v>22</v>
      </c>
      <c r="AB70" s="14">
        <v>49</v>
      </c>
      <c r="AC70" s="14">
        <f>IF(UN80_Action_Plan__2_1[[#This Row],[Action No]]=Table10[[#This Row],[Action No]],1,0)</f>
        <v>1</v>
      </c>
      <c r="AD70" s="14">
        <f t="shared" ref="AD70:AD96" si="2">IF(
    AND(P70=V70, INT(Q70)=INT(W70), R70=X70),
    1,
    _xlfn.TEXTJOIN(", ", TRUE,
        IF(P70&lt;&gt;V70, "Upcoming milestone mismatch", ""),
        IF(INT(Q70)&lt;&gt;INT(W70), "Delivery date mismatch", ""),
        IF(R70&lt;&gt;X70, "Updates mismatch", "")
    )
)</f>
        <v>1</v>
      </c>
      <c r="AJ70" s="14" t="s">
        <v>1127</v>
      </c>
      <c r="AL70" s="14" t="s">
        <v>1128</v>
      </c>
      <c r="AM70" s="14">
        <v>22</v>
      </c>
      <c r="AN70" s="14">
        <v>49</v>
      </c>
      <c r="AO70" s="14">
        <f>IF(UN80_Action_Plan__2_1[[#This Row],[Action No]]=Table8[[#This Row],[Action No]],1,0)</f>
        <v>1</v>
      </c>
      <c r="AP70" s="14"/>
      <c r="AQ70" s="14"/>
      <c r="AR70" s="14" t="s">
        <v>788</v>
      </c>
      <c r="AS70" s="14">
        <v>22</v>
      </c>
      <c r="AT70" s="14">
        <v>49</v>
      </c>
      <c r="AU70" s="14">
        <f>IF(UN80_Action_Plan__2_1[[#This Row],[Action No]]=Table9[[#This Row],[Action No]],1,0)</f>
        <v>1</v>
      </c>
    </row>
    <row r="71" spans="1:47" ht="89.5" customHeight="1">
      <c r="A71" s="14">
        <v>22</v>
      </c>
      <c r="B71" s="14" t="s">
        <v>356</v>
      </c>
      <c r="C71" s="14">
        <v>52</v>
      </c>
      <c r="D71" s="14" t="s">
        <v>387</v>
      </c>
      <c r="E71" s="16"/>
      <c r="F71" s="14" t="s">
        <v>780</v>
      </c>
      <c r="G71" s="14" t="s">
        <v>1095</v>
      </c>
      <c r="H71" s="14" t="s">
        <v>1129</v>
      </c>
      <c r="I71" s="14" t="s">
        <v>789</v>
      </c>
      <c r="J71" s="14" t="s">
        <v>707</v>
      </c>
      <c r="K71" s="18">
        <v>46111</v>
      </c>
      <c r="L71" s="14" t="s">
        <v>708</v>
      </c>
      <c r="M71" s="18">
        <v>46386</v>
      </c>
      <c r="N71" s="16" t="s">
        <v>522</v>
      </c>
      <c r="O71" s="14" t="s">
        <v>634</v>
      </c>
      <c r="P71" s="16" t="s">
        <v>1130</v>
      </c>
      <c r="Q71" s="35">
        <v>46111.166666666664</v>
      </c>
      <c r="R71" s="16"/>
      <c r="V71" s="57" t="s">
        <v>1130</v>
      </c>
      <c r="W71" s="56">
        <v>46111</v>
      </c>
      <c r="X71" s="22"/>
      <c r="Y71" s="22"/>
      <c r="Z71" s="14" t="s">
        <v>786</v>
      </c>
      <c r="AA71" s="14">
        <v>22</v>
      </c>
      <c r="AB71" s="14">
        <v>52</v>
      </c>
      <c r="AC71" s="14">
        <f>IF(UN80_Action_Plan__2_1[[#This Row],[Action No]]=Table10[[#This Row],[Action No]],1,0)</f>
        <v>1</v>
      </c>
      <c r="AD71" s="14">
        <f t="shared" si="2"/>
        <v>1</v>
      </c>
      <c r="AJ71" s="14" t="s">
        <v>1131</v>
      </c>
      <c r="AL71" s="14" t="s">
        <v>1132</v>
      </c>
      <c r="AM71" s="14">
        <v>22</v>
      </c>
      <c r="AN71" s="14">
        <v>52</v>
      </c>
      <c r="AO71" s="14">
        <f>IF(UN80_Action_Plan__2_1[[#This Row],[Action No]]=Table8[[#This Row],[Action No]],1,0)</f>
        <v>1</v>
      </c>
      <c r="AP71" s="14"/>
      <c r="AQ71" s="14"/>
      <c r="AR71" s="14" t="s">
        <v>788</v>
      </c>
      <c r="AS71" s="14">
        <v>22</v>
      </c>
      <c r="AT71" s="14">
        <v>52</v>
      </c>
      <c r="AU71" s="14">
        <f>IF(UN80_Action_Plan__2_1[[#This Row],[Action No]]=Table9[[#This Row],[Action No]],1,0)</f>
        <v>1</v>
      </c>
    </row>
    <row r="72" spans="1:47" ht="89.5" customHeight="1">
      <c r="A72" s="14">
        <v>22</v>
      </c>
      <c r="B72" s="14" t="s">
        <v>356</v>
      </c>
      <c r="C72" s="14">
        <v>55</v>
      </c>
      <c r="D72" s="14" t="s">
        <v>390</v>
      </c>
      <c r="E72" s="16"/>
      <c r="F72" s="14" t="s">
        <v>780</v>
      </c>
      <c r="G72" s="14" t="s">
        <v>1133</v>
      </c>
      <c r="H72" s="14" t="s">
        <v>1134</v>
      </c>
      <c r="I72" s="14" t="s">
        <v>1135</v>
      </c>
      <c r="J72" s="14" t="s">
        <v>1136</v>
      </c>
      <c r="K72" s="18">
        <v>46111</v>
      </c>
      <c r="L72" s="14" t="s">
        <v>1137</v>
      </c>
      <c r="M72" s="18">
        <v>46386</v>
      </c>
      <c r="N72" s="16" t="s">
        <v>507</v>
      </c>
      <c r="O72" s="14" t="s">
        <v>713</v>
      </c>
      <c r="P72" s="16" t="s">
        <v>1138</v>
      </c>
      <c r="Q72" s="35">
        <v>46111.166666666664</v>
      </c>
      <c r="R72" s="16"/>
      <c r="V72" s="57" t="s">
        <v>1138</v>
      </c>
      <c r="W72" s="56">
        <v>46111</v>
      </c>
      <c r="X72" s="22"/>
      <c r="Y72" s="22"/>
      <c r="Z72" s="14" t="s">
        <v>786</v>
      </c>
      <c r="AA72" s="14">
        <v>22</v>
      </c>
      <c r="AB72" s="14">
        <v>55</v>
      </c>
      <c r="AC72" s="14">
        <f>IF(UN80_Action_Plan__2_1[[#This Row],[Action No]]=Table10[[#This Row],[Action No]],1,0)</f>
        <v>1</v>
      </c>
      <c r="AD72" s="14">
        <f t="shared" si="2"/>
        <v>1</v>
      </c>
      <c r="AJ72" s="14" t="s">
        <v>1139</v>
      </c>
      <c r="AL72" s="14" t="s">
        <v>1140</v>
      </c>
      <c r="AM72" s="14">
        <v>22</v>
      </c>
      <c r="AN72" s="14">
        <v>55</v>
      </c>
      <c r="AO72" s="14">
        <f>IF(UN80_Action_Plan__2_1[[#This Row],[Action No]]=Table8[[#This Row],[Action No]],1,0)</f>
        <v>1</v>
      </c>
      <c r="AP72" s="14"/>
      <c r="AQ72" s="14"/>
      <c r="AR72" s="14" t="s">
        <v>788</v>
      </c>
      <c r="AS72" s="14">
        <v>22</v>
      </c>
      <c r="AT72" s="14">
        <v>55</v>
      </c>
      <c r="AU72" s="14">
        <f>IF(UN80_Action_Plan__2_1[[#This Row],[Action No]]=Table9[[#This Row],[Action No]],1,0)</f>
        <v>1</v>
      </c>
    </row>
    <row r="73" spans="1:47" ht="89.5" customHeight="1">
      <c r="A73" s="14">
        <v>22</v>
      </c>
      <c r="B73" s="14" t="s">
        <v>356</v>
      </c>
      <c r="C73" s="14">
        <v>58</v>
      </c>
      <c r="D73" s="14" t="s">
        <v>393</v>
      </c>
      <c r="E73" s="16"/>
      <c r="F73" s="14" t="s">
        <v>780</v>
      </c>
      <c r="G73" s="14" t="s">
        <v>1095</v>
      </c>
      <c r="H73" s="14" t="s">
        <v>1125</v>
      </c>
      <c r="I73" s="14" t="s">
        <v>1141</v>
      </c>
      <c r="J73" s="14" t="s">
        <v>704</v>
      </c>
      <c r="K73" s="18">
        <v>46111</v>
      </c>
      <c r="L73" s="14" t="s">
        <v>715</v>
      </c>
      <c r="M73" s="18">
        <v>46386</v>
      </c>
      <c r="N73" s="16" t="s">
        <v>507</v>
      </c>
      <c r="O73" s="14" t="s">
        <v>713</v>
      </c>
      <c r="P73" s="16" t="s">
        <v>1142</v>
      </c>
      <c r="Q73" s="35">
        <v>46111.166666666664</v>
      </c>
      <c r="R73" s="16"/>
      <c r="V73" s="57" t="s">
        <v>1142</v>
      </c>
      <c r="W73" s="56">
        <f>UN80_Action_Plan__2_1[[#This Row],[Milestone 1 Deadline]]</f>
        <v>46111</v>
      </c>
      <c r="X73" s="22"/>
      <c r="Y73" s="22"/>
      <c r="Z73" s="14" t="s">
        <v>786</v>
      </c>
      <c r="AA73" s="14">
        <v>22</v>
      </c>
      <c r="AB73" s="14">
        <v>58</v>
      </c>
      <c r="AC73" s="14">
        <f>IF(UN80_Action_Plan__2_1[[#This Row],[Action No]]=Table10[[#This Row],[Action No]],1,0)</f>
        <v>1</v>
      </c>
      <c r="AD73" s="14">
        <f t="shared" si="2"/>
        <v>1</v>
      </c>
      <c r="AJ73" s="14" t="s">
        <v>1143</v>
      </c>
      <c r="AL73" s="14" t="s">
        <v>1144</v>
      </c>
      <c r="AM73" s="14">
        <v>22</v>
      </c>
      <c r="AN73" s="14">
        <v>58</v>
      </c>
      <c r="AO73" s="14">
        <f>IF(UN80_Action_Plan__2_1[[#This Row],[Action No]]=Table8[[#This Row],[Action No]],1,0)</f>
        <v>1</v>
      </c>
      <c r="AP73" s="14"/>
      <c r="AQ73" s="14"/>
      <c r="AR73" s="14" t="s">
        <v>788</v>
      </c>
      <c r="AS73" s="14">
        <v>22</v>
      </c>
      <c r="AT73" s="14">
        <v>58</v>
      </c>
      <c r="AU73" s="14">
        <f>IF(UN80_Action_Plan__2_1[[#This Row],[Action No]]=Table9[[#This Row],[Action No]],1,0)</f>
        <v>1</v>
      </c>
    </row>
    <row r="74" spans="1:47" ht="89.5" customHeight="1">
      <c r="A74" s="14">
        <v>23</v>
      </c>
      <c r="B74" s="14" t="s">
        <v>396</v>
      </c>
      <c r="C74" s="14">
        <v>5</v>
      </c>
      <c r="D74" s="14" t="s">
        <v>397</v>
      </c>
      <c r="E74" s="16"/>
      <c r="F74" s="14" t="s">
        <v>398</v>
      </c>
      <c r="I74" s="14" t="s">
        <v>1145</v>
      </c>
      <c r="K74" s="18"/>
      <c r="M74" s="18"/>
      <c r="N74" s="16" t="s">
        <v>650</v>
      </c>
      <c r="P74" s="16" t="s">
        <v>981</v>
      </c>
      <c r="Q74" s="35"/>
      <c r="R74" s="16"/>
      <c r="V74" s="57" t="s">
        <v>981</v>
      </c>
      <c r="W74" s="56"/>
      <c r="X74" s="20"/>
      <c r="Y74" s="20"/>
      <c r="Z74" s="14" t="s">
        <v>786</v>
      </c>
      <c r="AA74" s="14">
        <v>23</v>
      </c>
      <c r="AB74" s="14">
        <v>5</v>
      </c>
      <c r="AC74" s="14">
        <f>IF(UN80_Action_Plan__2_1[[#This Row],[Action No]]=Table10[[#This Row],[Action No]],1,0)</f>
        <v>1</v>
      </c>
      <c r="AD74" s="14">
        <f t="shared" si="2"/>
        <v>1</v>
      </c>
      <c r="AM74" s="14">
        <v>23</v>
      </c>
      <c r="AN74" s="14">
        <v>5</v>
      </c>
      <c r="AO74" s="14">
        <f>IF(UN80_Action_Plan__2_1[[#This Row],[Action No]]=Table8[[#This Row],[Action No]],1,0)</f>
        <v>1</v>
      </c>
      <c r="AP74" s="14"/>
      <c r="AQ74" s="14"/>
      <c r="AR74" s="14" t="s">
        <v>788</v>
      </c>
      <c r="AS74" s="14">
        <v>23</v>
      </c>
      <c r="AT74" s="14">
        <v>5</v>
      </c>
      <c r="AU74" s="14">
        <f>IF(UN80_Action_Plan__2_1[[#This Row],[Action No]]=Table9[[#This Row],[Action No]],1,0)</f>
        <v>1</v>
      </c>
    </row>
    <row r="75" spans="1:47" ht="89.5" customHeight="1">
      <c r="A75" s="14">
        <v>23</v>
      </c>
      <c r="B75" s="14" t="s">
        <v>396</v>
      </c>
      <c r="C75" s="14">
        <v>53</v>
      </c>
      <c r="D75" s="14" t="s">
        <v>401</v>
      </c>
      <c r="E75" s="16"/>
      <c r="F75" s="14" t="s">
        <v>398</v>
      </c>
      <c r="I75" s="14" t="s">
        <v>1145</v>
      </c>
      <c r="K75" s="18"/>
      <c r="M75" s="18"/>
      <c r="N75" s="16" t="s">
        <v>650</v>
      </c>
      <c r="P75" s="16" t="s">
        <v>981</v>
      </c>
      <c r="Q75" s="35"/>
      <c r="R75" s="16"/>
      <c r="V75" s="57" t="s">
        <v>981</v>
      </c>
      <c r="W75" s="56"/>
      <c r="X75" s="20"/>
      <c r="Y75" s="20"/>
      <c r="Z75" s="14" t="s">
        <v>786</v>
      </c>
      <c r="AA75" s="14">
        <v>23</v>
      </c>
      <c r="AB75" s="14">
        <v>53</v>
      </c>
      <c r="AC75" s="14">
        <f>IF(UN80_Action_Plan__2_1[[#This Row],[Action No]]=Table10[[#This Row],[Action No]],1,0)</f>
        <v>1</v>
      </c>
      <c r="AD75" s="14">
        <f t="shared" si="2"/>
        <v>1</v>
      </c>
      <c r="AM75" s="14">
        <v>23</v>
      </c>
      <c r="AN75" s="14">
        <v>53</v>
      </c>
      <c r="AO75" s="14">
        <f>IF(UN80_Action_Plan__2_1[[#This Row],[Action No]]=Table8[[#This Row],[Action No]],1,0)</f>
        <v>1</v>
      </c>
      <c r="AP75" s="14"/>
      <c r="AQ75" s="14"/>
      <c r="AR75" s="14" t="s">
        <v>788</v>
      </c>
      <c r="AS75" s="14">
        <v>23</v>
      </c>
      <c r="AT75" s="14">
        <v>53</v>
      </c>
      <c r="AU75" s="14">
        <f>IF(UN80_Action_Plan__2_1[[#This Row],[Action No]]=Table9[[#This Row],[Action No]],1,0)</f>
        <v>1</v>
      </c>
    </row>
    <row r="76" spans="1:47" ht="89.5" customHeight="1">
      <c r="A76" s="14">
        <v>24</v>
      </c>
      <c r="B76" s="14" t="s">
        <v>404</v>
      </c>
      <c r="C76" s="14">
        <v>4</v>
      </c>
      <c r="D76" s="14" t="s">
        <v>405</v>
      </c>
      <c r="E76" s="16"/>
      <c r="F76" s="14" t="s">
        <v>1146</v>
      </c>
      <c r="G76" s="14" t="s">
        <v>1147</v>
      </c>
      <c r="H76" s="14" t="s">
        <v>1148</v>
      </c>
      <c r="I76" s="14" t="s">
        <v>717</v>
      </c>
      <c r="J76" s="14" t="s">
        <v>407</v>
      </c>
      <c r="K76" s="18">
        <v>46112</v>
      </c>
      <c r="L76" s="14" t="s">
        <v>410</v>
      </c>
      <c r="M76" s="18">
        <v>46233</v>
      </c>
      <c r="N76" s="16" t="s">
        <v>564</v>
      </c>
      <c r="P76" s="16" t="s">
        <v>1149</v>
      </c>
      <c r="Q76" s="35">
        <f>UN80_Action_Plan__2_1[[#This Row],[Milestone 1 Deadline]]</f>
        <v>46112</v>
      </c>
      <c r="R76" s="16"/>
      <c r="V76" s="57" t="s">
        <v>1150</v>
      </c>
      <c r="W76" s="56">
        <f>UN80_Action_Plan__2_1[[#This Row],[Milestone 1 Deadline]]</f>
        <v>46112</v>
      </c>
      <c r="X76" s="22"/>
      <c r="Y76" s="22"/>
      <c r="Z76" s="14" t="s">
        <v>786</v>
      </c>
      <c r="AA76" s="14">
        <v>24</v>
      </c>
      <c r="AB76" s="14">
        <v>4</v>
      </c>
      <c r="AC76" s="14">
        <f>IF(UN80_Action_Plan__2_1[[#This Row],[Action No]]=Table10[[#This Row],[Action No]],1,0)</f>
        <v>1</v>
      </c>
      <c r="AD76" s="14" t="str">
        <f t="shared" si="2"/>
        <v>Upcoming milestone mismatch</v>
      </c>
      <c r="AJ76" s="14" t="s">
        <v>1151</v>
      </c>
      <c r="AL76" s="14" t="s">
        <v>1152</v>
      </c>
      <c r="AM76" s="14">
        <v>24</v>
      </c>
      <c r="AN76" s="14">
        <v>4</v>
      </c>
      <c r="AO76" s="14">
        <f>IF(UN80_Action_Plan__2_1[[#This Row],[Action No]]=Table8[[#This Row],[Action No]],1,0)</f>
        <v>1</v>
      </c>
      <c r="AP76" s="14"/>
      <c r="AQ76" s="14"/>
      <c r="AR76" s="14"/>
      <c r="AS76" s="14">
        <v>24</v>
      </c>
      <c r="AT76" s="14">
        <v>4</v>
      </c>
      <c r="AU76" s="14">
        <f>IF(UN80_Action_Plan__2_1[[#This Row],[Action No]]=Table9[[#This Row],[Action No]],1,0)</f>
        <v>1</v>
      </c>
    </row>
    <row r="77" spans="1:47" ht="89.5" customHeight="1">
      <c r="A77" s="14">
        <v>24</v>
      </c>
      <c r="B77" s="14" t="s">
        <v>404</v>
      </c>
      <c r="C77" s="14">
        <v>12</v>
      </c>
      <c r="D77" s="14" t="s">
        <v>413</v>
      </c>
      <c r="E77" s="16"/>
      <c r="F77" s="14" t="s">
        <v>1146</v>
      </c>
      <c r="G77" s="14" t="s">
        <v>1147</v>
      </c>
      <c r="H77" s="14" t="s">
        <v>1153</v>
      </c>
      <c r="I77" s="14" t="s">
        <v>718</v>
      </c>
      <c r="J77" s="14" t="s">
        <v>1154</v>
      </c>
      <c r="K77" s="18">
        <v>46052</v>
      </c>
      <c r="L77" s="14" t="s">
        <v>1155</v>
      </c>
      <c r="M77" s="18">
        <v>46202</v>
      </c>
      <c r="N77" s="16" t="s">
        <v>564</v>
      </c>
      <c r="P77" s="16" t="s">
        <v>1156</v>
      </c>
      <c r="Q77" s="35">
        <v>46202.166666666664</v>
      </c>
      <c r="R77" s="16"/>
      <c r="V77" s="57" t="s">
        <v>1156</v>
      </c>
      <c r="W77" s="56">
        <f>UN80_Action_Plan__2_1[[#This Row],[Milestone Final Deadline]]</f>
        <v>46202</v>
      </c>
      <c r="X77" s="22"/>
      <c r="Y77" s="22"/>
      <c r="Z77" s="14" t="s">
        <v>786</v>
      </c>
      <c r="AA77" s="14">
        <v>24</v>
      </c>
      <c r="AB77" s="14">
        <v>12</v>
      </c>
      <c r="AC77" s="14">
        <f>IF(UN80_Action_Plan__2_1[[#This Row],[Action No]]=Table10[[#This Row],[Action No]],1,0)</f>
        <v>1</v>
      </c>
      <c r="AD77" s="14">
        <f t="shared" si="2"/>
        <v>1</v>
      </c>
      <c r="AJ77" s="14" t="s">
        <v>1157</v>
      </c>
      <c r="AL77" s="14" t="s">
        <v>1158</v>
      </c>
      <c r="AM77" s="14">
        <v>24</v>
      </c>
      <c r="AN77" s="14">
        <v>12</v>
      </c>
      <c r="AO77" s="14">
        <f>IF(UN80_Action_Plan__2_1[[#This Row],[Action No]]=Table8[[#This Row],[Action No]],1,0)</f>
        <v>1</v>
      </c>
      <c r="AP77" s="14"/>
      <c r="AQ77" s="14"/>
      <c r="AR77" s="14"/>
      <c r="AS77" s="14">
        <v>24</v>
      </c>
      <c r="AT77" s="14">
        <v>12</v>
      </c>
      <c r="AU77" s="14">
        <f>IF(UN80_Action_Plan__2_1[[#This Row],[Action No]]=Table9[[#This Row],[Action No]],1,0)</f>
        <v>1</v>
      </c>
    </row>
    <row r="78" spans="1:47" ht="89.5" customHeight="1">
      <c r="A78" s="14">
        <v>24</v>
      </c>
      <c r="B78" s="14" t="s">
        <v>404</v>
      </c>
      <c r="C78" s="14">
        <v>13</v>
      </c>
      <c r="D78" s="14" t="s">
        <v>420</v>
      </c>
      <c r="E78" s="16"/>
      <c r="F78" s="14" t="s">
        <v>1146</v>
      </c>
      <c r="G78" s="14" t="s">
        <v>1147</v>
      </c>
      <c r="H78" s="14" t="s">
        <v>1159</v>
      </c>
      <c r="I78" s="14" t="s">
        <v>1160</v>
      </c>
      <c r="J78" s="14" t="s">
        <v>1161</v>
      </c>
      <c r="K78" s="18">
        <v>46052</v>
      </c>
      <c r="L78" s="14" t="s">
        <v>1162</v>
      </c>
      <c r="M78" s="18">
        <v>46111</v>
      </c>
      <c r="N78" s="16" t="s">
        <v>564</v>
      </c>
      <c r="P78" s="16" t="s">
        <v>1163</v>
      </c>
      <c r="Q78" s="35">
        <v>46111.166666666664</v>
      </c>
      <c r="R78" s="16"/>
      <c r="V78" s="57" t="s">
        <v>1163</v>
      </c>
      <c r="W78" s="56">
        <f>UN80_Action_Plan__2_1[[#This Row],[Milestone Final Deadline]]</f>
        <v>46111</v>
      </c>
      <c r="X78" s="22"/>
      <c r="Y78" s="22"/>
      <c r="Z78" s="14" t="s">
        <v>786</v>
      </c>
      <c r="AA78" s="14">
        <v>24</v>
      </c>
      <c r="AB78" s="14">
        <v>13</v>
      </c>
      <c r="AC78" s="14">
        <f>IF(UN80_Action_Plan__2_1[[#This Row],[Action No]]=Table10[[#This Row],[Action No]],1,0)</f>
        <v>1</v>
      </c>
      <c r="AD78" s="14">
        <f t="shared" si="2"/>
        <v>1</v>
      </c>
      <c r="AJ78" s="14" t="s">
        <v>1164</v>
      </c>
      <c r="AL78" s="14" t="s">
        <v>1165</v>
      </c>
      <c r="AM78" s="14">
        <v>24</v>
      </c>
      <c r="AN78" s="14">
        <v>13</v>
      </c>
      <c r="AO78" s="14">
        <f>IF(UN80_Action_Plan__2_1[[#This Row],[Action No]]=Table8[[#This Row],[Action No]],1,0)</f>
        <v>1</v>
      </c>
      <c r="AP78" s="14"/>
      <c r="AQ78" s="14"/>
      <c r="AR78" s="14"/>
      <c r="AS78" s="14">
        <v>24</v>
      </c>
      <c r="AT78" s="14">
        <v>13</v>
      </c>
      <c r="AU78" s="14">
        <f>IF(UN80_Action_Plan__2_1[[#This Row],[Action No]]=Table9[[#This Row],[Action No]],1,0)</f>
        <v>1</v>
      </c>
    </row>
    <row r="79" spans="1:47" ht="89.5" customHeight="1">
      <c r="A79" s="14">
        <v>25</v>
      </c>
      <c r="B79" s="14" t="s">
        <v>426</v>
      </c>
      <c r="C79" s="14">
        <v>29</v>
      </c>
      <c r="D79" s="14" t="s">
        <v>427</v>
      </c>
      <c r="E79" s="16"/>
      <c r="F79" s="14" t="s">
        <v>1166</v>
      </c>
      <c r="G79" s="14" t="s">
        <v>1167</v>
      </c>
      <c r="H79" s="14" t="s">
        <v>1168</v>
      </c>
      <c r="I79" s="14" t="s">
        <v>725</v>
      </c>
      <c r="J79" s="14" t="s">
        <v>1169</v>
      </c>
      <c r="K79" s="18">
        <v>46008</v>
      </c>
      <c r="L79" s="14" t="s">
        <v>1170</v>
      </c>
      <c r="M79" s="18">
        <v>46325</v>
      </c>
      <c r="N79" s="16" t="s">
        <v>564</v>
      </c>
      <c r="O79" s="14" t="s">
        <v>1171</v>
      </c>
      <c r="P79" s="16" t="s">
        <v>1172</v>
      </c>
      <c r="Q79" s="35">
        <v>46053.208333333336</v>
      </c>
      <c r="R79" s="16"/>
      <c r="V79" s="57" t="s">
        <v>1172</v>
      </c>
      <c r="W79" s="56">
        <v>46053</v>
      </c>
      <c r="X79" s="55"/>
      <c r="Y79" s="55"/>
      <c r="Z79" s="14" t="s">
        <v>786</v>
      </c>
      <c r="AA79" s="14">
        <v>25</v>
      </c>
      <c r="AB79" s="14">
        <v>29</v>
      </c>
      <c r="AC79" s="14">
        <f>IF(UN80_Action_Plan__2_1[[#This Row],[Action No]]=Table10[[#This Row],[Action No]],1,0)</f>
        <v>1</v>
      </c>
      <c r="AD79" s="14">
        <f t="shared" si="2"/>
        <v>1</v>
      </c>
      <c r="AJ79" s="14" t="s">
        <v>1173</v>
      </c>
      <c r="AL79" s="14" t="s">
        <v>1174</v>
      </c>
      <c r="AM79" s="14">
        <v>25</v>
      </c>
      <c r="AN79" s="14">
        <v>29</v>
      </c>
      <c r="AO79" s="14">
        <f>IF(UN80_Action_Plan__2_1[[#This Row],[Action No]]=Table8[[#This Row],[Action No]],1,0)</f>
        <v>1</v>
      </c>
      <c r="AP79" s="14"/>
      <c r="AQ79" s="14"/>
      <c r="AR79" s="14" t="s">
        <v>788</v>
      </c>
      <c r="AS79" s="14">
        <v>25</v>
      </c>
      <c r="AT79" s="14">
        <v>29</v>
      </c>
      <c r="AU79" s="14">
        <f>IF(UN80_Action_Plan__2_1[[#This Row],[Action No]]=Table9[[#This Row],[Action No]],1,0)</f>
        <v>1</v>
      </c>
    </row>
    <row r="80" spans="1:47" ht="89.5" customHeight="1">
      <c r="A80" s="14">
        <v>26</v>
      </c>
      <c r="B80" s="14" t="s">
        <v>435</v>
      </c>
      <c r="C80" s="14">
        <v>32</v>
      </c>
      <c r="D80" s="14" t="s">
        <v>436</v>
      </c>
      <c r="E80" s="16"/>
      <c r="F80" s="14" t="s">
        <v>437</v>
      </c>
      <c r="I80" s="14" t="s">
        <v>924</v>
      </c>
      <c r="J80" s="14" t="s">
        <v>1175</v>
      </c>
      <c r="K80" s="18"/>
      <c r="L80" s="14" t="s">
        <v>1175</v>
      </c>
      <c r="M80" s="18"/>
      <c r="N80" s="16" t="s">
        <v>564</v>
      </c>
      <c r="P80" s="16" t="s">
        <v>981</v>
      </c>
      <c r="Q80" s="35"/>
      <c r="R80" s="16"/>
      <c r="V80" s="57" t="s">
        <v>981</v>
      </c>
      <c r="W80" s="56"/>
      <c r="X80" s="22"/>
      <c r="Y80" s="22"/>
      <c r="Z80" s="14" t="s">
        <v>786</v>
      </c>
      <c r="AA80" s="14">
        <v>26</v>
      </c>
      <c r="AB80" s="14">
        <v>32</v>
      </c>
      <c r="AC80" s="14">
        <f>IF(UN80_Action_Plan__2_1[[#This Row],[Action No]]=Table10[[#This Row],[Action No]],1,0)</f>
        <v>1</v>
      </c>
      <c r="AD80" s="14">
        <f t="shared" si="2"/>
        <v>1</v>
      </c>
      <c r="AM80" s="14">
        <v>26</v>
      </c>
      <c r="AN80" s="14">
        <v>32</v>
      </c>
      <c r="AO80" s="14">
        <f>IF(UN80_Action_Plan__2_1[[#This Row],[Action No]]=Table8[[#This Row],[Action No]],1,0)</f>
        <v>1</v>
      </c>
      <c r="AP80" s="14"/>
      <c r="AQ80" s="14"/>
      <c r="AR80" s="14" t="s">
        <v>788</v>
      </c>
      <c r="AS80" s="14">
        <v>26</v>
      </c>
      <c r="AT80" s="14">
        <v>32</v>
      </c>
      <c r="AU80" s="14">
        <f>IF(UN80_Action_Plan__2_1[[#This Row],[Action No]]=Table9[[#This Row],[Action No]],1,0)</f>
        <v>1</v>
      </c>
    </row>
    <row r="81" spans="1:47" ht="89.5" customHeight="1">
      <c r="A81" s="14">
        <v>27</v>
      </c>
      <c r="B81" s="14" t="s">
        <v>441</v>
      </c>
      <c r="C81" s="14">
        <v>35</v>
      </c>
      <c r="D81" s="14" t="s">
        <v>442</v>
      </c>
      <c r="E81" s="16"/>
      <c r="F81" s="14" t="s">
        <v>1176</v>
      </c>
      <c r="G81" s="14" t="s">
        <v>445</v>
      </c>
      <c r="H81" s="14" t="s">
        <v>1177</v>
      </c>
      <c r="I81" s="14" t="s">
        <v>1178</v>
      </c>
      <c r="J81" s="14" t="s">
        <v>729</v>
      </c>
      <c r="K81" s="18">
        <v>46052</v>
      </c>
      <c r="L81" s="14" t="s">
        <v>1179</v>
      </c>
      <c r="M81" s="18">
        <v>46282</v>
      </c>
      <c r="N81" s="16" t="s">
        <v>564</v>
      </c>
      <c r="P81" s="16" t="s">
        <v>1180</v>
      </c>
      <c r="Q81" s="35">
        <v>46282.166666666664</v>
      </c>
      <c r="R81" s="16"/>
      <c r="V81" s="58" t="s">
        <v>1181</v>
      </c>
      <c r="W81" s="56">
        <f>UN80_Action_Plan__2_1[[#This Row],[Milestone Final Deadline]]</f>
        <v>46282</v>
      </c>
      <c r="X81" s="22"/>
      <c r="Y81" s="22"/>
      <c r="Z81" s="14" t="s">
        <v>786</v>
      </c>
      <c r="AA81" s="14">
        <v>27</v>
      </c>
      <c r="AB81" s="14">
        <v>35</v>
      </c>
      <c r="AC81" s="14">
        <f>IF(UN80_Action_Plan__2_1[[#This Row],[Action No]]=Table10[[#This Row],[Action No]],1,0)</f>
        <v>1</v>
      </c>
      <c r="AD81" s="14" t="str">
        <f t="shared" si="2"/>
        <v>Upcoming milestone mismatch</v>
      </c>
      <c r="AJ81" s="14" t="s">
        <v>1182</v>
      </c>
      <c r="AL81" s="14" t="s">
        <v>1183</v>
      </c>
      <c r="AM81" s="14">
        <v>27</v>
      </c>
      <c r="AN81" s="14">
        <v>35</v>
      </c>
      <c r="AO81" s="14">
        <f>IF(UN80_Action_Plan__2_1[[#This Row],[Action No]]=Table8[[#This Row],[Action No]],1,0)</f>
        <v>1</v>
      </c>
      <c r="AP81" s="14"/>
      <c r="AQ81" s="14"/>
      <c r="AR81" s="14" t="s">
        <v>788</v>
      </c>
      <c r="AS81" s="14">
        <v>27</v>
      </c>
      <c r="AT81" s="14">
        <v>35</v>
      </c>
      <c r="AU81" s="14">
        <f>IF(UN80_Action_Plan__2_1[[#This Row],[Action No]]=Table9[[#This Row],[Action No]],1,0)</f>
        <v>1</v>
      </c>
    </row>
    <row r="82" spans="1:47" ht="213.75" customHeight="1">
      <c r="A82" s="14">
        <v>28</v>
      </c>
      <c r="B82" s="14" t="s">
        <v>450</v>
      </c>
      <c r="C82" s="14">
        <v>30</v>
      </c>
      <c r="D82" s="14" t="s">
        <v>451</v>
      </c>
      <c r="E82" s="16"/>
      <c r="F82" s="14" t="s">
        <v>1184</v>
      </c>
      <c r="I82" s="14" t="s">
        <v>65</v>
      </c>
      <c r="K82" s="18"/>
      <c r="M82" s="18"/>
      <c r="N82" s="16" t="s">
        <v>650</v>
      </c>
      <c r="P82" s="16" t="s">
        <v>981</v>
      </c>
      <c r="Q82" s="35"/>
      <c r="R82" s="16"/>
      <c r="V82" s="57" t="s">
        <v>981</v>
      </c>
      <c r="W82" s="56"/>
      <c r="X82" s="22"/>
      <c r="Y82" s="22"/>
      <c r="Z82" s="14" t="s">
        <v>786</v>
      </c>
      <c r="AA82" s="14">
        <v>28</v>
      </c>
      <c r="AB82" s="14">
        <v>30</v>
      </c>
      <c r="AC82" s="14">
        <f>IF(UN80_Action_Plan__2_1[[#This Row],[Action No]]=Table10[[#This Row],[Action No]],1,0)</f>
        <v>1</v>
      </c>
      <c r="AD82" s="14">
        <f t="shared" si="2"/>
        <v>1</v>
      </c>
      <c r="AI82" s="14" t="s">
        <v>1468</v>
      </c>
      <c r="AJ82" s="15" t="s">
        <v>1463</v>
      </c>
      <c r="AK82" s="14" t="s">
        <v>1462</v>
      </c>
      <c r="AM82" s="14">
        <v>28</v>
      </c>
      <c r="AN82" s="14">
        <v>30</v>
      </c>
      <c r="AO82" s="14">
        <f>IF(UN80_Action_Plan__2_1[[#This Row],[Action No]]=Table8[[#This Row],[Action No]],1,0)</f>
        <v>1</v>
      </c>
      <c r="AP82" s="14"/>
      <c r="AQ82" s="14"/>
      <c r="AR82" s="14"/>
      <c r="AS82" s="14">
        <v>28</v>
      </c>
      <c r="AT82" s="14">
        <v>30</v>
      </c>
      <c r="AU82" s="14">
        <f>IF(UN80_Action_Plan__2_1[[#This Row],[Action No]]=Table9[[#This Row],[Action No]],1,0)</f>
        <v>1</v>
      </c>
    </row>
    <row r="83" spans="1:47" ht="89.5" customHeight="1">
      <c r="A83" s="14">
        <v>28</v>
      </c>
      <c r="B83" s="14" t="s">
        <v>450</v>
      </c>
      <c r="C83" s="14">
        <v>31</v>
      </c>
      <c r="D83" s="14" t="s">
        <v>455</v>
      </c>
      <c r="E83" s="16"/>
      <c r="F83" s="14" t="s">
        <v>1184</v>
      </c>
      <c r="I83" s="14" t="s">
        <v>65</v>
      </c>
      <c r="K83" s="18"/>
      <c r="M83" s="18"/>
      <c r="N83" s="16" t="s">
        <v>650</v>
      </c>
      <c r="P83" s="16" t="s">
        <v>981</v>
      </c>
      <c r="Q83" s="35"/>
      <c r="R83" s="16"/>
      <c r="V83" s="57" t="s">
        <v>981</v>
      </c>
      <c r="W83" s="56"/>
      <c r="X83" s="22"/>
      <c r="Y83" s="22"/>
      <c r="Z83" s="14" t="s">
        <v>786</v>
      </c>
      <c r="AA83" s="14">
        <v>28</v>
      </c>
      <c r="AB83" s="14">
        <v>31</v>
      </c>
      <c r="AC83" s="14">
        <f>IF(UN80_Action_Plan__2_1[[#This Row],[Action No]]=Table10[[#This Row],[Action No]],1,0)</f>
        <v>1</v>
      </c>
      <c r="AD83" s="14">
        <f t="shared" si="2"/>
        <v>1</v>
      </c>
      <c r="AI83" s="14" t="s">
        <v>1467</v>
      </c>
      <c r="AM83" s="14">
        <v>28</v>
      </c>
      <c r="AN83" s="14">
        <v>31</v>
      </c>
      <c r="AO83" s="14">
        <f>IF(UN80_Action_Plan__2_1[[#This Row],[Action No]]=Table8[[#This Row],[Action No]],1,0)</f>
        <v>1</v>
      </c>
      <c r="AP83" s="14"/>
      <c r="AQ83" s="14"/>
      <c r="AR83" s="14"/>
      <c r="AS83" s="14">
        <v>28</v>
      </c>
      <c r="AT83" s="14">
        <v>31</v>
      </c>
      <c r="AU83" s="14">
        <f>IF(UN80_Action_Plan__2_1[[#This Row],[Action No]]=Table9[[#This Row],[Action No]],1,0)</f>
        <v>1</v>
      </c>
    </row>
    <row r="84" spans="1:47" ht="89.5" customHeight="1">
      <c r="A84" s="14">
        <v>29</v>
      </c>
      <c r="B84" s="14" t="s">
        <v>461</v>
      </c>
      <c r="C84" s="14">
        <v>79</v>
      </c>
      <c r="D84" s="14" t="s">
        <v>462</v>
      </c>
      <c r="E84" s="16"/>
      <c r="F84" s="14" t="s">
        <v>35</v>
      </c>
      <c r="G84" s="14" t="s">
        <v>1185</v>
      </c>
      <c r="I84" s="14" t="s">
        <v>610</v>
      </c>
      <c r="J84" s="14" t="s">
        <v>1186</v>
      </c>
      <c r="K84" s="18">
        <v>46096</v>
      </c>
      <c r="L84" s="14" t="s">
        <v>1187</v>
      </c>
      <c r="M84" s="18">
        <v>46280</v>
      </c>
      <c r="N84" s="16" t="s">
        <v>564</v>
      </c>
      <c r="P84" s="16" t="s">
        <v>1188</v>
      </c>
      <c r="Q84" s="35">
        <v>46096.166666666664</v>
      </c>
      <c r="R84" s="16"/>
      <c r="V84" s="57" t="s">
        <v>1188</v>
      </c>
      <c r="W84" s="56">
        <f>UN80_Action_Plan__2_1[[#This Row],[Milestone 1 Deadline]]</f>
        <v>46096</v>
      </c>
      <c r="X84" s="22"/>
      <c r="Y84" s="22"/>
      <c r="Z84" s="14" t="s">
        <v>786</v>
      </c>
      <c r="AA84" s="14">
        <v>29</v>
      </c>
      <c r="AB84" s="14">
        <v>79</v>
      </c>
      <c r="AC84" s="14">
        <f>IF(UN80_Action_Plan__2_1[[#This Row],[Action No]]=Table10[[#This Row],[Action No]],1,0)</f>
        <v>1</v>
      </c>
      <c r="AD84" s="14">
        <f t="shared" si="2"/>
        <v>1</v>
      </c>
      <c r="AM84" s="14">
        <v>29</v>
      </c>
      <c r="AN84" s="14">
        <v>79</v>
      </c>
      <c r="AO84" s="14">
        <f>IF(UN80_Action_Plan__2_1[[#This Row],[Action No]]=Table8[[#This Row],[Action No]],1,0)</f>
        <v>1</v>
      </c>
      <c r="AP84" s="14"/>
      <c r="AQ84" s="14"/>
      <c r="AR84" s="14"/>
      <c r="AS84" s="14">
        <v>29</v>
      </c>
      <c r="AT84" s="14">
        <v>79</v>
      </c>
      <c r="AU84" s="14">
        <f>IF(UN80_Action_Plan__2_1[[#This Row],[Action No]]=Table9[[#This Row],[Action No]],1,0)</f>
        <v>1</v>
      </c>
    </row>
    <row r="85" spans="1:47" ht="89.5" customHeight="1">
      <c r="A85" s="14">
        <v>29</v>
      </c>
      <c r="B85" s="14" t="s">
        <v>461</v>
      </c>
      <c r="C85" s="14">
        <v>82</v>
      </c>
      <c r="D85" s="14" t="s">
        <v>465</v>
      </c>
      <c r="E85" s="16"/>
      <c r="F85" s="14" t="s">
        <v>35</v>
      </c>
      <c r="G85" s="14" t="s">
        <v>732</v>
      </c>
      <c r="I85" s="14" t="s">
        <v>610</v>
      </c>
      <c r="J85" s="14" t="s">
        <v>1189</v>
      </c>
      <c r="K85" s="18">
        <v>46096</v>
      </c>
      <c r="L85" s="14" t="s">
        <v>1190</v>
      </c>
      <c r="M85" s="18">
        <v>46280</v>
      </c>
      <c r="N85" s="16" t="s">
        <v>564</v>
      </c>
      <c r="P85" s="16" t="s">
        <v>1191</v>
      </c>
      <c r="Q85" s="35">
        <v>46096.166666666664</v>
      </c>
      <c r="R85" s="16"/>
      <c r="V85" s="57" t="s">
        <v>1191</v>
      </c>
      <c r="W85" s="56">
        <f>UN80_Action_Plan__2_1[[#This Row],[Milestone 1 Deadline]]</f>
        <v>46096</v>
      </c>
      <c r="X85" s="22"/>
      <c r="Y85" s="22"/>
      <c r="Z85" s="14" t="s">
        <v>786</v>
      </c>
      <c r="AA85" s="14">
        <v>29</v>
      </c>
      <c r="AB85" s="14">
        <v>82</v>
      </c>
      <c r="AC85" s="14">
        <f>IF(UN80_Action_Plan__2_1[[#This Row],[Action No]]=Table10[[#This Row],[Action No]],1,0)</f>
        <v>1</v>
      </c>
      <c r="AD85" s="14">
        <f t="shared" si="2"/>
        <v>1</v>
      </c>
      <c r="AM85" s="14">
        <v>29</v>
      </c>
      <c r="AN85" s="14">
        <v>82</v>
      </c>
      <c r="AO85" s="14">
        <f>IF(UN80_Action_Plan__2_1[[#This Row],[Action No]]=Table8[[#This Row],[Action No]],1,0)</f>
        <v>1</v>
      </c>
      <c r="AP85" s="14"/>
      <c r="AQ85" s="14"/>
      <c r="AR85" s="14"/>
      <c r="AS85" s="14">
        <v>29</v>
      </c>
      <c r="AT85" s="14">
        <v>82</v>
      </c>
      <c r="AU85" s="14">
        <f>IF(UN80_Action_Plan__2_1[[#This Row],[Action No]]=Table9[[#This Row],[Action No]],1,0)</f>
        <v>1</v>
      </c>
    </row>
    <row r="86" spans="1:47" ht="89.5" customHeight="1">
      <c r="A86" s="14">
        <v>30</v>
      </c>
      <c r="B86" s="14" t="s">
        <v>468</v>
      </c>
      <c r="C86" s="14">
        <v>84</v>
      </c>
      <c r="D86" s="14" t="s">
        <v>469</v>
      </c>
      <c r="E86" s="16"/>
      <c r="F86" s="14" t="s">
        <v>338</v>
      </c>
      <c r="G86" s="14" t="s">
        <v>1192</v>
      </c>
      <c r="H86" s="14" t="s">
        <v>1193</v>
      </c>
      <c r="I86" s="14" t="s">
        <v>1194</v>
      </c>
      <c r="J86" s="14" t="s">
        <v>1195</v>
      </c>
      <c r="K86" s="18">
        <v>46080</v>
      </c>
      <c r="L86" s="14" t="s">
        <v>1196</v>
      </c>
      <c r="M86" s="18">
        <v>46141</v>
      </c>
      <c r="N86" s="16" t="s">
        <v>564</v>
      </c>
      <c r="P86" s="16" t="s">
        <v>1197</v>
      </c>
      <c r="Q86" s="35">
        <v>46080.208333333336</v>
      </c>
      <c r="R86" s="16"/>
      <c r="V86" s="57" t="s">
        <v>1197</v>
      </c>
      <c r="W86" s="56">
        <f>UN80_Action_Plan__2_1[[#This Row],[Milestone 1 Deadline]]</f>
        <v>46080</v>
      </c>
      <c r="X86" s="22"/>
      <c r="Y86" s="22"/>
      <c r="Z86" s="14" t="s">
        <v>786</v>
      </c>
      <c r="AA86" s="14">
        <v>30</v>
      </c>
      <c r="AB86" s="14">
        <v>84</v>
      </c>
      <c r="AC86" s="14">
        <f>IF(UN80_Action_Plan__2_1[[#This Row],[Action No]]=Table10[[#This Row],[Action No]],1,0)</f>
        <v>1</v>
      </c>
      <c r="AD86" s="14">
        <f t="shared" si="2"/>
        <v>1</v>
      </c>
      <c r="AI86" s="14" t="s">
        <v>1198</v>
      </c>
      <c r="AJ86" s="14" t="s">
        <v>1444</v>
      </c>
      <c r="AK86" s="15" t="s">
        <v>1445</v>
      </c>
      <c r="AM86" s="14">
        <v>30</v>
      </c>
      <c r="AN86" s="14">
        <v>84</v>
      </c>
      <c r="AO86" s="14">
        <f>IF(UN80_Action_Plan__2_1[[#This Row],[Action No]]=Table8[[#This Row],[Action No]],1,0)</f>
        <v>1</v>
      </c>
      <c r="AP86" s="14"/>
      <c r="AQ86" s="14"/>
      <c r="AR86" s="14"/>
      <c r="AS86" s="14">
        <v>30</v>
      </c>
      <c r="AT86" s="14">
        <v>84</v>
      </c>
      <c r="AU86" s="14">
        <f>IF(UN80_Action_Plan__2_1[[#This Row],[Action No]]=Table9[[#This Row],[Action No]],1,0)</f>
        <v>1</v>
      </c>
    </row>
    <row r="87" spans="1:47" ht="89.5" customHeight="1">
      <c r="A87" s="14">
        <v>30</v>
      </c>
      <c r="B87" s="14" t="s">
        <v>468</v>
      </c>
      <c r="C87" s="14">
        <v>85</v>
      </c>
      <c r="D87" s="14" t="s">
        <v>472</v>
      </c>
      <c r="E87" s="16"/>
      <c r="F87" s="14" t="s">
        <v>338</v>
      </c>
      <c r="G87" s="14" t="s">
        <v>1192</v>
      </c>
      <c r="H87" s="14" t="s">
        <v>1193</v>
      </c>
      <c r="I87" s="14" t="s">
        <v>1194</v>
      </c>
      <c r="J87" s="14" t="s">
        <v>1199</v>
      </c>
      <c r="K87" s="18">
        <v>46052</v>
      </c>
      <c r="L87" s="14" t="s">
        <v>1200</v>
      </c>
      <c r="M87" s="18">
        <v>46202</v>
      </c>
      <c r="N87" s="16" t="s">
        <v>564</v>
      </c>
      <c r="P87" s="16" t="s">
        <v>1201</v>
      </c>
      <c r="Q87" s="35">
        <v>46082.208333333336</v>
      </c>
      <c r="R87" s="16"/>
      <c r="V87" s="57" t="s">
        <v>1201</v>
      </c>
      <c r="W87" s="56">
        <v>46082</v>
      </c>
      <c r="X87" s="22"/>
      <c r="Y87" s="22"/>
      <c r="Z87" s="14" t="s">
        <v>786</v>
      </c>
      <c r="AA87" s="14">
        <v>30</v>
      </c>
      <c r="AB87" s="14">
        <v>85</v>
      </c>
      <c r="AC87" s="14">
        <f>IF(UN80_Action_Plan__2_1[[#This Row],[Action No]]=Table10[[#This Row],[Action No]],1,0)</f>
        <v>1</v>
      </c>
      <c r="AD87" s="14">
        <f t="shared" si="2"/>
        <v>1</v>
      </c>
      <c r="AI87" s="14" t="s">
        <v>1202</v>
      </c>
      <c r="AJ87" s="15" t="s">
        <v>1446</v>
      </c>
      <c r="AK87" s="14" t="s">
        <v>1447</v>
      </c>
      <c r="AM87" s="14">
        <v>30</v>
      </c>
      <c r="AN87" s="14">
        <v>85</v>
      </c>
      <c r="AO87" s="14">
        <f>IF(UN80_Action_Plan__2_1[[#This Row],[Action No]]=Table8[[#This Row],[Action No]],1,0)</f>
        <v>1</v>
      </c>
      <c r="AP87" s="14"/>
      <c r="AQ87" s="14"/>
      <c r="AR87" s="14"/>
      <c r="AS87" s="14">
        <v>30</v>
      </c>
      <c r="AT87" s="14">
        <v>85</v>
      </c>
      <c r="AU87" s="14">
        <f>IF(UN80_Action_Plan__2_1[[#This Row],[Action No]]=Table9[[#This Row],[Action No]],1,0)</f>
        <v>1</v>
      </c>
    </row>
    <row r="88" spans="1:47" ht="89.5" customHeight="1">
      <c r="A88" s="14">
        <v>30</v>
      </c>
      <c r="B88" s="14" t="s">
        <v>468</v>
      </c>
      <c r="C88" s="14">
        <v>86</v>
      </c>
      <c r="D88" s="14" t="s">
        <v>475</v>
      </c>
      <c r="E88" s="16"/>
      <c r="F88" s="14" t="s">
        <v>338</v>
      </c>
      <c r="G88" s="14" t="s">
        <v>1192</v>
      </c>
      <c r="H88" s="14" t="s">
        <v>1193</v>
      </c>
      <c r="I88" s="14" t="s">
        <v>1194</v>
      </c>
      <c r="J88" s="14" t="s">
        <v>1203</v>
      </c>
      <c r="K88" s="18">
        <v>46142</v>
      </c>
      <c r="L88" s="14" t="s">
        <v>1204</v>
      </c>
      <c r="M88" s="18">
        <v>46280</v>
      </c>
      <c r="N88" s="16" t="s">
        <v>564</v>
      </c>
      <c r="P88" s="16" t="s">
        <v>1205</v>
      </c>
      <c r="Q88" s="35">
        <v>46142.166666666664</v>
      </c>
      <c r="R88" s="16"/>
      <c r="V88" s="57" t="s">
        <v>1205</v>
      </c>
      <c r="W88" s="56">
        <f>UN80_Action_Plan__2_1[[#This Row],[Milestone 1 Deadline]]</f>
        <v>46142</v>
      </c>
      <c r="X88" s="22"/>
      <c r="Y88" s="22"/>
      <c r="Z88" s="14" t="s">
        <v>786</v>
      </c>
      <c r="AA88" s="14">
        <v>30</v>
      </c>
      <c r="AB88" s="14">
        <v>86</v>
      </c>
      <c r="AC88" s="14">
        <f>IF(UN80_Action_Plan__2_1[[#This Row],[Action No]]=Table10[[#This Row],[Action No]],1,0)</f>
        <v>1</v>
      </c>
      <c r="AD88" s="14">
        <f t="shared" si="2"/>
        <v>1</v>
      </c>
      <c r="AI88" s="14" t="s">
        <v>1206</v>
      </c>
      <c r="AJ88" s="15" t="s">
        <v>1448</v>
      </c>
      <c r="AK88" s="15" t="s">
        <v>1449</v>
      </c>
      <c r="AM88" s="14">
        <v>30</v>
      </c>
      <c r="AN88" s="14">
        <v>86</v>
      </c>
      <c r="AO88" s="14">
        <f>IF(UN80_Action_Plan__2_1[[#This Row],[Action No]]=Table8[[#This Row],[Action No]],1,0)</f>
        <v>1</v>
      </c>
      <c r="AP88" s="14"/>
      <c r="AQ88" s="14"/>
      <c r="AR88" s="14"/>
      <c r="AS88" s="14">
        <v>30</v>
      </c>
      <c r="AT88" s="14">
        <v>86</v>
      </c>
      <c r="AU88" s="14">
        <f>IF(UN80_Action_Plan__2_1[[#This Row],[Action No]]=Table9[[#This Row],[Action No]],1,0)</f>
        <v>1</v>
      </c>
    </row>
    <row r="89" spans="1:47" ht="89.5" customHeight="1">
      <c r="A89" s="14">
        <v>30</v>
      </c>
      <c r="B89" s="14" t="s">
        <v>468</v>
      </c>
      <c r="C89" s="14">
        <v>87</v>
      </c>
      <c r="D89" s="14" t="s">
        <v>478</v>
      </c>
      <c r="E89" s="16"/>
      <c r="F89" s="14" t="s">
        <v>338</v>
      </c>
      <c r="G89" s="14" t="s">
        <v>1207</v>
      </c>
      <c r="H89" s="14" t="s">
        <v>1208</v>
      </c>
      <c r="I89" s="14" t="s">
        <v>1209</v>
      </c>
      <c r="J89" s="14" t="s">
        <v>1210</v>
      </c>
      <c r="K89" s="18">
        <v>46052</v>
      </c>
      <c r="L89" s="14" t="s">
        <v>1211</v>
      </c>
      <c r="M89" s="18">
        <v>46112</v>
      </c>
      <c r="N89" s="16" t="s">
        <v>564</v>
      </c>
      <c r="P89" s="16" t="s">
        <v>1212</v>
      </c>
      <c r="Q89" s="35">
        <v>46112.166666666664</v>
      </c>
      <c r="R89" s="16"/>
      <c r="V89" s="16" t="s">
        <v>1213</v>
      </c>
      <c r="W89" s="56">
        <f>UN80_Action_Plan__2_1[[#This Row],[Milestone Final Deadline]]</f>
        <v>46112</v>
      </c>
      <c r="X89" s="22"/>
      <c r="Y89" s="22"/>
      <c r="Z89" s="14" t="s">
        <v>786</v>
      </c>
      <c r="AA89" s="14">
        <v>30</v>
      </c>
      <c r="AB89" s="14">
        <v>87</v>
      </c>
      <c r="AC89" s="14">
        <f>IF(UN80_Action_Plan__2_1[[#This Row],[Action No]]=Table10[[#This Row],[Action No]],1,0)</f>
        <v>1</v>
      </c>
      <c r="AD89" s="14" t="str">
        <f t="shared" si="2"/>
        <v>Upcoming milestone mismatch</v>
      </c>
      <c r="AI89" s="14" t="s">
        <v>1214</v>
      </c>
      <c r="AK89" s="14" t="s">
        <v>1350</v>
      </c>
      <c r="AM89" s="14">
        <v>30</v>
      </c>
      <c r="AN89" s="14">
        <v>87</v>
      </c>
      <c r="AO89" s="14">
        <f>IF(UN80_Action_Plan__2_1[[#This Row],[Action No]]=Table8[[#This Row],[Action No]],1,0)</f>
        <v>1</v>
      </c>
      <c r="AP89" s="14"/>
      <c r="AQ89" s="14"/>
      <c r="AR89" s="14"/>
      <c r="AS89" s="14">
        <v>30</v>
      </c>
      <c r="AT89" s="14">
        <v>87</v>
      </c>
      <c r="AU89" s="14">
        <f>IF(UN80_Action_Plan__2_1[[#This Row],[Action No]]=Table9[[#This Row],[Action No]],1,0)</f>
        <v>1</v>
      </c>
    </row>
    <row r="90" spans="1:47" ht="89.5" customHeight="1">
      <c r="A90" s="14">
        <v>31</v>
      </c>
      <c r="B90" s="14" t="s">
        <v>481</v>
      </c>
      <c r="C90" s="14">
        <v>94</v>
      </c>
      <c r="D90" s="14" t="s">
        <v>482</v>
      </c>
      <c r="E90" s="16" t="s">
        <v>1215</v>
      </c>
      <c r="F90" s="14" t="s">
        <v>1216</v>
      </c>
      <c r="G90" s="14" t="s">
        <v>1217</v>
      </c>
      <c r="I90" s="14" t="s">
        <v>1218</v>
      </c>
      <c r="J90" s="14" t="s">
        <v>1219</v>
      </c>
      <c r="K90" s="18">
        <v>46053</v>
      </c>
      <c r="L90" s="14" t="s">
        <v>1220</v>
      </c>
      <c r="M90" s="18">
        <v>46234</v>
      </c>
      <c r="N90" s="16" t="s">
        <v>564</v>
      </c>
      <c r="P90" s="16" t="s">
        <v>926</v>
      </c>
      <c r="Q90" s="35"/>
      <c r="R90" s="16" t="s">
        <v>1097</v>
      </c>
      <c r="V90" s="19" t="s">
        <v>926</v>
      </c>
      <c r="W90" s="56"/>
      <c r="X90" s="79" t="s">
        <v>1097</v>
      </c>
      <c r="Y90" s="21"/>
      <c r="Z90" s="14" t="s">
        <v>786</v>
      </c>
      <c r="AA90" s="14">
        <v>31</v>
      </c>
      <c r="AB90" s="14">
        <v>94</v>
      </c>
      <c r="AC90" s="14">
        <f>IF(UN80_Action_Plan__2_1[[#This Row],[Action No]]=Table10[[#This Row],[Action No]],1,0)</f>
        <v>1</v>
      </c>
      <c r="AD90" s="14">
        <f t="shared" si="2"/>
        <v>1</v>
      </c>
      <c r="AI90" s="14" t="s">
        <v>1341</v>
      </c>
      <c r="AJ90" s="14" t="s">
        <v>1221</v>
      </c>
      <c r="AL90" s="14" t="s">
        <v>1222</v>
      </c>
      <c r="AM90" s="14">
        <v>31</v>
      </c>
      <c r="AN90" s="14">
        <v>94</v>
      </c>
      <c r="AO90" s="14">
        <f>IF(UN80_Action_Plan__2_1[[#This Row],[Action No]]=Table8[[#This Row],[Action No]],1,0)</f>
        <v>1</v>
      </c>
      <c r="AP90" s="14"/>
      <c r="AQ90" s="14"/>
      <c r="AR90" s="14" t="s">
        <v>788</v>
      </c>
      <c r="AS90" s="14">
        <v>31</v>
      </c>
      <c r="AT90" s="14">
        <v>94</v>
      </c>
      <c r="AU90" s="14">
        <f>IF(UN80_Action_Plan__2_1[[#This Row],[Action No]]=Table9[[#This Row],[Action No]],1,0)</f>
        <v>1</v>
      </c>
    </row>
    <row r="91" spans="1:47" ht="89.5" customHeight="1">
      <c r="A91" s="14">
        <v>31</v>
      </c>
      <c r="B91" s="14" t="s">
        <v>481</v>
      </c>
      <c r="C91" s="14">
        <v>94</v>
      </c>
      <c r="D91" s="14" t="s">
        <v>482</v>
      </c>
      <c r="E91" s="16" t="s">
        <v>1223</v>
      </c>
      <c r="F91" s="14" t="s">
        <v>1216</v>
      </c>
      <c r="G91" s="14" t="s">
        <v>1217</v>
      </c>
      <c r="I91" s="14" t="s">
        <v>1218</v>
      </c>
      <c r="J91" s="14" t="s">
        <v>1224</v>
      </c>
      <c r="K91" s="18">
        <v>46053</v>
      </c>
      <c r="L91" s="14" t="s">
        <v>741</v>
      </c>
      <c r="M91" s="18">
        <v>46326</v>
      </c>
      <c r="N91" s="16" t="s">
        <v>564</v>
      </c>
      <c r="P91" s="16" t="s">
        <v>926</v>
      </c>
      <c r="Q91" s="35"/>
      <c r="R91" s="16" t="s">
        <v>1097</v>
      </c>
      <c r="V91" s="19" t="s">
        <v>926</v>
      </c>
      <c r="W91" s="56"/>
      <c r="X91" s="23" t="s">
        <v>1097</v>
      </c>
      <c r="Y91" s="21"/>
      <c r="Z91" s="14" t="s">
        <v>786</v>
      </c>
      <c r="AA91" s="14">
        <v>31</v>
      </c>
      <c r="AB91" s="14">
        <v>94</v>
      </c>
      <c r="AC91" s="14">
        <f>IF(UN80_Action_Plan__2_1[[#This Row],[Action No]]=Table10[[#This Row],[Action No]],1,0)</f>
        <v>1</v>
      </c>
      <c r="AD91" s="14">
        <f t="shared" si="2"/>
        <v>1</v>
      </c>
      <c r="AJ91" s="19" t="s">
        <v>1225</v>
      </c>
      <c r="AK91" s="19"/>
      <c r="AM91" s="14">
        <v>31</v>
      </c>
      <c r="AN91" s="14">
        <v>94</v>
      </c>
      <c r="AO91" s="14">
        <f>IF(UN80_Action_Plan__2_1[[#This Row],[Action No]]=Table8[[#This Row],[Action No]],1,0)</f>
        <v>1</v>
      </c>
      <c r="AP91" s="14"/>
      <c r="AQ91" s="14"/>
      <c r="AR91" s="14" t="s">
        <v>788</v>
      </c>
      <c r="AS91" s="14">
        <v>31</v>
      </c>
      <c r="AT91" s="14">
        <v>94</v>
      </c>
      <c r="AU91" s="14">
        <f>IF(UN80_Action_Plan__2_1[[#This Row],[Action No]]=Table9[[#This Row],[Action No]],1,0)</f>
        <v>1</v>
      </c>
    </row>
    <row r="92" spans="1:47" ht="89.5" customHeight="1">
      <c r="A92" s="14">
        <v>31</v>
      </c>
      <c r="B92" s="14" t="s">
        <v>481</v>
      </c>
      <c r="C92" s="14">
        <v>95</v>
      </c>
      <c r="D92" s="14" t="s">
        <v>490</v>
      </c>
      <c r="E92" s="16" t="s">
        <v>1226</v>
      </c>
      <c r="F92" s="14" t="s">
        <v>1216</v>
      </c>
      <c r="G92" s="14" t="s">
        <v>1227</v>
      </c>
      <c r="I92" s="14" t="s">
        <v>1218</v>
      </c>
      <c r="J92" s="14" t="s">
        <v>1228</v>
      </c>
      <c r="K92" s="18">
        <v>46053</v>
      </c>
      <c r="L92" s="14" t="s">
        <v>1229</v>
      </c>
      <c r="M92" s="18">
        <v>46294</v>
      </c>
      <c r="N92" s="16" t="s">
        <v>564</v>
      </c>
      <c r="P92" s="16" t="s">
        <v>1104</v>
      </c>
      <c r="Q92" s="35">
        <v>46053.208333333336</v>
      </c>
      <c r="R92" s="16"/>
      <c r="V92" s="57" t="s">
        <v>1104</v>
      </c>
      <c r="W92" s="56">
        <f>UN80_Action_Plan__2_1[[#This Row],[DeliveryDate]]</f>
        <v>46053.208333333336</v>
      </c>
      <c r="X92" s="23"/>
      <c r="Y92" s="21"/>
      <c r="Z92" s="14" t="s">
        <v>786</v>
      </c>
      <c r="AA92" s="14">
        <v>31</v>
      </c>
      <c r="AB92" s="14">
        <v>95</v>
      </c>
      <c r="AC92" s="14">
        <f>IF(UN80_Action_Plan__2_1[[#This Row],[Action No]]=Table10[[#This Row],[Action No]],1,0)</f>
        <v>1</v>
      </c>
      <c r="AD92" s="14">
        <f t="shared" si="2"/>
        <v>1</v>
      </c>
      <c r="AJ92" s="14" t="s">
        <v>1230</v>
      </c>
      <c r="AL92" s="14" t="s">
        <v>1231</v>
      </c>
      <c r="AM92" s="14">
        <v>31</v>
      </c>
      <c r="AN92" s="14">
        <v>95</v>
      </c>
      <c r="AO92" s="14">
        <f>IF(UN80_Action_Plan__2_1[[#This Row],[Action No]]=Table8[[#This Row],[Action No]],1,0)</f>
        <v>1</v>
      </c>
      <c r="AP92" s="14"/>
      <c r="AQ92" s="14"/>
      <c r="AR92" s="14" t="s">
        <v>788</v>
      </c>
      <c r="AS92" s="14">
        <v>31</v>
      </c>
      <c r="AT92" s="14">
        <v>95</v>
      </c>
      <c r="AU92" s="14">
        <f>IF(UN80_Action_Plan__2_1[[#This Row],[Action No]]=Table9[[#This Row],[Action No]],1,0)</f>
        <v>1</v>
      </c>
    </row>
    <row r="93" spans="1:47" ht="89.5" customHeight="1">
      <c r="A93" s="14">
        <v>31</v>
      </c>
      <c r="B93" s="14" t="s">
        <v>481</v>
      </c>
      <c r="C93" s="14">
        <v>95</v>
      </c>
      <c r="D93" s="14" t="s">
        <v>490</v>
      </c>
      <c r="E93" s="16" t="s">
        <v>1232</v>
      </c>
      <c r="F93" s="14" t="s">
        <v>1216</v>
      </c>
      <c r="G93" s="14" t="s">
        <v>1233</v>
      </c>
      <c r="I93" s="14" t="s">
        <v>1234</v>
      </c>
      <c r="J93" s="14" t="s">
        <v>1235</v>
      </c>
      <c r="K93" s="18">
        <v>46022</v>
      </c>
      <c r="L93" s="14" t="s">
        <v>1236</v>
      </c>
      <c r="M93" s="18"/>
      <c r="N93" s="16" t="s">
        <v>507</v>
      </c>
      <c r="O93" s="14" t="s">
        <v>745</v>
      </c>
      <c r="P93" s="16" t="s">
        <v>1237</v>
      </c>
      <c r="Q93" s="35">
        <v>46054.208333333336</v>
      </c>
      <c r="R93" s="16"/>
      <c r="V93" s="57" t="s">
        <v>1237</v>
      </c>
      <c r="W93" s="78">
        <v>46054</v>
      </c>
      <c r="X93" s="21"/>
      <c r="Y93" s="21"/>
      <c r="Z93" s="14" t="s">
        <v>786</v>
      </c>
      <c r="AA93" s="14">
        <v>31</v>
      </c>
      <c r="AB93" s="14">
        <v>95</v>
      </c>
      <c r="AC93" s="14">
        <f>IF(UN80_Action_Plan__2_1[[#This Row],[Action No]]=Table10[[#This Row],[Action No]],1,0)</f>
        <v>1</v>
      </c>
      <c r="AD93" s="14">
        <f t="shared" si="2"/>
        <v>1</v>
      </c>
      <c r="AJ93" s="19" t="s">
        <v>1238</v>
      </c>
      <c r="AK93" s="19"/>
      <c r="AM93" s="14">
        <v>31</v>
      </c>
      <c r="AN93" s="14">
        <v>95</v>
      </c>
      <c r="AO93" s="14">
        <f>IF(UN80_Action_Plan__2_1[[#This Row],[Action No]]=Table8[[#This Row],[Action No]],1,0)</f>
        <v>1</v>
      </c>
      <c r="AP93" s="14"/>
      <c r="AQ93" s="14"/>
      <c r="AR93" s="14" t="s">
        <v>788</v>
      </c>
      <c r="AS93" s="14">
        <v>31</v>
      </c>
      <c r="AT93" s="14">
        <v>95</v>
      </c>
      <c r="AU93" s="14">
        <f>IF(UN80_Action_Plan__2_1[[#This Row],[Action No]]=Table9[[#This Row],[Action No]],1,0)</f>
        <v>1</v>
      </c>
    </row>
    <row r="94" spans="1:47" ht="89.5" customHeight="1">
      <c r="A94" s="14">
        <v>31</v>
      </c>
      <c r="B94" s="14" t="s">
        <v>481</v>
      </c>
      <c r="C94" s="14">
        <v>95</v>
      </c>
      <c r="D94" s="14" t="s">
        <v>490</v>
      </c>
      <c r="E94" s="16" t="s">
        <v>1239</v>
      </c>
      <c r="F94" s="14" t="s">
        <v>1216</v>
      </c>
      <c r="G94" s="14" t="s">
        <v>1240</v>
      </c>
      <c r="I94" s="14" t="s">
        <v>1241</v>
      </c>
      <c r="J94" s="14" t="s">
        <v>1242</v>
      </c>
      <c r="K94" s="18">
        <v>46053</v>
      </c>
      <c r="L94" s="14" t="s">
        <v>1243</v>
      </c>
      <c r="M94" s="18">
        <v>46294</v>
      </c>
      <c r="N94" s="16" t="s">
        <v>564</v>
      </c>
      <c r="P94" s="16" t="s">
        <v>1237</v>
      </c>
      <c r="Q94" s="35">
        <v>46053.208333333336</v>
      </c>
      <c r="R94" s="16"/>
      <c r="V94" s="57" t="s">
        <v>1237</v>
      </c>
      <c r="W94" s="78">
        <f>UN80_Action_Plan__2_1[[#This Row],[Milestone 1 Deadline]]</f>
        <v>46053</v>
      </c>
      <c r="X94" s="22"/>
      <c r="Y94" s="22"/>
      <c r="Z94" s="14" t="s">
        <v>786</v>
      </c>
      <c r="AA94" s="14">
        <v>31</v>
      </c>
      <c r="AB94" s="14">
        <v>95</v>
      </c>
      <c r="AC94" s="14">
        <f>IF(UN80_Action_Plan__2_1[[#This Row],[Action No]]=Table10[[#This Row],[Action No]],1,0)</f>
        <v>1</v>
      </c>
      <c r="AD94" s="14">
        <f t="shared" si="2"/>
        <v>1</v>
      </c>
      <c r="AJ94" s="19" t="s">
        <v>1244</v>
      </c>
      <c r="AK94" s="19"/>
      <c r="AM94" s="14">
        <v>31</v>
      </c>
      <c r="AN94" s="14">
        <v>95</v>
      </c>
      <c r="AO94" s="14">
        <f>IF(UN80_Action_Plan__2_1[[#This Row],[Action No]]=Table8[[#This Row],[Action No]],1,0)</f>
        <v>1</v>
      </c>
      <c r="AP94" s="14"/>
      <c r="AQ94" s="14"/>
      <c r="AR94" s="14" t="s">
        <v>788</v>
      </c>
      <c r="AS94" s="14">
        <v>31</v>
      </c>
      <c r="AT94" s="14">
        <v>95</v>
      </c>
      <c r="AU94" s="14">
        <f>IF(UN80_Action_Plan__2_1[[#This Row],[Action No]]=Table9[[#This Row],[Action No]],1,0)</f>
        <v>1</v>
      </c>
    </row>
    <row r="95" spans="1:47" ht="89.5" customHeight="1">
      <c r="A95" s="14">
        <v>31</v>
      </c>
      <c r="B95" s="14" t="s">
        <v>481</v>
      </c>
      <c r="C95" s="14">
        <v>95</v>
      </c>
      <c r="D95" s="14" t="s">
        <v>490</v>
      </c>
      <c r="E95" s="16" t="s">
        <v>1245</v>
      </c>
      <c r="F95" s="14" t="s">
        <v>1216</v>
      </c>
      <c r="G95" s="14" t="s">
        <v>1246</v>
      </c>
      <c r="I95" s="14" t="s">
        <v>1247</v>
      </c>
      <c r="J95" s="14" t="s">
        <v>1248</v>
      </c>
      <c r="K95" s="18">
        <v>46021</v>
      </c>
      <c r="L95" s="14" t="s">
        <v>1249</v>
      </c>
      <c r="M95" s="18">
        <v>46386</v>
      </c>
      <c r="N95" s="16" t="s">
        <v>522</v>
      </c>
      <c r="O95" s="14" t="s">
        <v>1250</v>
      </c>
      <c r="P95" s="16" t="s">
        <v>1237</v>
      </c>
      <c r="Q95" s="35">
        <v>46052.208333333336</v>
      </c>
      <c r="R95" s="16"/>
      <c r="V95" s="57" t="s">
        <v>1237</v>
      </c>
      <c r="W95" s="78">
        <v>46052</v>
      </c>
      <c r="X95" s="21"/>
      <c r="Y95" s="21"/>
      <c r="Z95" s="14" t="s">
        <v>786</v>
      </c>
      <c r="AA95" s="14">
        <v>31</v>
      </c>
      <c r="AB95" s="14">
        <v>95</v>
      </c>
      <c r="AC95" s="14">
        <f>IF(UN80_Action_Plan__2_1[[#This Row],[Action No]]=Table10[[#This Row],[Action No]],1,0)</f>
        <v>1</v>
      </c>
      <c r="AD95" s="14">
        <f t="shared" si="2"/>
        <v>1</v>
      </c>
      <c r="AJ95" s="19" t="s">
        <v>1251</v>
      </c>
      <c r="AK95" s="19"/>
      <c r="AM95" s="14">
        <v>31</v>
      </c>
      <c r="AN95" s="14">
        <v>95</v>
      </c>
      <c r="AO95" s="14">
        <f>IF(UN80_Action_Plan__2_1[[#This Row],[Action No]]=Table8[[#This Row],[Action No]],1,0)</f>
        <v>1</v>
      </c>
      <c r="AP95" s="14"/>
      <c r="AQ95" s="14"/>
      <c r="AR95" s="14" t="s">
        <v>788</v>
      </c>
      <c r="AS95" s="14">
        <v>31</v>
      </c>
      <c r="AT95" s="14">
        <v>95</v>
      </c>
      <c r="AU95" s="14">
        <f>IF(UN80_Action_Plan__2_1[[#This Row],[Action No]]=Table9[[#This Row],[Action No]],1,0)</f>
        <v>1</v>
      </c>
    </row>
    <row r="96" spans="1:47" ht="89.5" customHeight="1">
      <c r="A96" s="14">
        <v>31</v>
      </c>
      <c r="B96" s="14" t="s">
        <v>481</v>
      </c>
      <c r="C96" s="14">
        <v>95</v>
      </c>
      <c r="D96" s="14" t="s">
        <v>490</v>
      </c>
      <c r="E96" s="16" t="s">
        <v>1252</v>
      </c>
      <c r="F96" s="14" t="s">
        <v>1216</v>
      </c>
      <c r="G96" s="14" t="s">
        <v>1217</v>
      </c>
      <c r="I96" s="14" t="s">
        <v>1218</v>
      </c>
      <c r="J96" s="14" t="s">
        <v>1253</v>
      </c>
      <c r="K96" s="18">
        <v>46021</v>
      </c>
      <c r="L96" s="14" t="s">
        <v>1254</v>
      </c>
      <c r="M96" s="18">
        <v>46386</v>
      </c>
      <c r="N96" s="16" t="s">
        <v>522</v>
      </c>
      <c r="O96" s="14" t="s">
        <v>754</v>
      </c>
      <c r="P96" s="16" t="s">
        <v>1237</v>
      </c>
      <c r="Q96" s="35">
        <v>46053.208333333336</v>
      </c>
      <c r="R96" s="16"/>
      <c r="V96" s="57" t="s">
        <v>1237</v>
      </c>
      <c r="W96" s="78">
        <v>46053</v>
      </c>
      <c r="X96" s="22"/>
      <c r="Y96" s="22"/>
      <c r="Z96" s="14" t="s">
        <v>786</v>
      </c>
      <c r="AA96" s="14">
        <v>31</v>
      </c>
      <c r="AB96" s="14">
        <v>95</v>
      </c>
      <c r="AC96" s="14">
        <f>IF(UN80_Action_Plan__2_1[[#This Row],[Action No]]=Table10[[#This Row],[Action No]],1,0)</f>
        <v>1</v>
      </c>
      <c r="AD96" s="14">
        <f t="shared" si="2"/>
        <v>1</v>
      </c>
      <c r="AJ96" s="19" t="s">
        <v>1255</v>
      </c>
      <c r="AK96" s="19"/>
      <c r="AM96" s="14">
        <v>31</v>
      </c>
      <c r="AN96" s="14">
        <v>95</v>
      </c>
      <c r="AO96" s="14">
        <f>IF(UN80_Action_Plan__2_1[[#This Row],[Action No]]=Table8[[#This Row],[Action No]],1,0)</f>
        <v>1</v>
      </c>
      <c r="AP96" s="14"/>
      <c r="AQ96" s="14"/>
      <c r="AR96" s="14" t="s">
        <v>788</v>
      </c>
      <c r="AS96" s="14">
        <v>31</v>
      </c>
      <c r="AT96" s="14">
        <v>95</v>
      </c>
      <c r="AU96" s="14">
        <f>IF(UN80_Action_Plan__2_1[[#This Row],[Action No]]=Table9[[#This Row],[Action No]],1,0)</f>
        <v>1</v>
      </c>
    </row>
    <row r="97" spans="38:46">
      <c r="AL97" s="2"/>
      <c r="AR97" s="14"/>
      <c r="AS97" s="14"/>
      <c r="AT97" s="14"/>
    </row>
    <row r="98" spans="38:46">
      <c r="AT98" s="14"/>
    </row>
  </sheetData>
  <phoneticPr fontId="23" type="noConversion"/>
  <conditionalFormatting sqref="N6:N96">
    <cfRule type="cellIs" dxfId="30" priority="54" operator="equal">
      <formula>"Finalized"</formula>
    </cfRule>
    <cfRule type="cellIs" dxfId="29" priority="55" operator="equal">
      <formula>"Confirmation needed"</formula>
    </cfRule>
    <cfRule type="cellIs" dxfId="28" priority="56" operator="equal">
      <formula>"No submission"</formula>
    </cfRule>
    <cfRule type="cellIs" dxfId="27" priority="57" operator="equal">
      <formula>"Attention to timeline"</formula>
    </cfRule>
    <cfRule type="cellIs" dxfId="26" priority="58" operator="equal">
      <formula>"Timeline needs attention"</formula>
    </cfRule>
  </conditionalFormatting>
  <conditionalFormatting sqref="Z6:Z96">
    <cfRule type="containsText" dxfId="25" priority="3" operator="containsText" text="OK">
      <formula>NOT(ISERROR(SEARCH("OK",Z6)))</formula>
    </cfRule>
    <cfRule type="containsText" dxfId="24" priority="4" operator="containsText" text="Reviewed">
      <formula>NOT(ISERROR(SEARCH("Reviewed",Z6)))</formula>
    </cfRule>
    <cfRule type="containsText" dxfId="23" priority="5" operator="containsText" text="Need OLA review">
      <formula>NOT(ISERROR(SEARCH("Need OLA review",Z6)))</formula>
    </cfRule>
  </conditionalFormatting>
  <conditionalFormatting sqref="AC6:AC96">
    <cfRule type="colorScale" priority="68">
      <colorScale>
        <cfvo type="min"/>
        <cfvo type="percentile" val="50"/>
        <cfvo type="max"/>
        <color rgb="FFF8696B"/>
        <color rgb="FFFFEB84"/>
        <color rgb="FF63BE7B"/>
      </colorScale>
    </cfRule>
  </conditionalFormatting>
  <conditionalFormatting sqref="AD6:AD96">
    <cfRule type="beginsWith" dxfId="22" priority="1" operator="beginsWith" text="1">
      <formula>LEFT(AD6,LEN("1"))="1"</formula>
    </cfRule>
    <cfRule type="notContainsText" dxfId="21" priority="2" operator="notContains" text="1">
      <formula>ISERROR(SEARCH("1",AD6))</formula>
    </cfRule>
  </conditionalFormatting>
  <conditionalFormatting sqref="AO6:AO96">
    <cfRule type="colorScale" priority="81">
      <colorScale>
        <cfvo type="min"/>
        <cfvo type="percentile" val="50"/>
        <cfvo type="max"/>
        <color rgb="FFF8696B"/>
        <color rgb="FFFFEB84"/>
        <color rgb="FF63BE7B"/>
      </colorScale>
    </cfRule>
  </conditionalFormatting>
  <conditionalFormatting sqref="AR6:AR96">
    <cfRule type="cellIs" dxfId="20" priority="51" operator="equal">
      <formula>"Yes"</formula>
    </cfRule>
  </conditionalFormatting>
  <conditionalFormatting sqref="AU6:AU96">
    <cfRule type="colorScale" priority="79">
      <colorScale>
        <cfvo type="min"/>
        <cfvo type="percentile" val="50"/>
        <cfvo type="max"/>
        <color rgb="FFF8696B"/>
        <color rgb="FFFFEB84"/>
        <color rgb="FF63BE7B"/>
      </colorScale>
    </cfRule>
  </conditionalFormatting>
  <dataValidations count="1">
    <dataValidation type="list" allowBlank="1" showInputMessage="1" showErrorMessage="1" sqref="Z6:Z96" xr:uid="{676B282E-5CA7-405A-9539-7FAAF9E6F2FF}">
      <formula1>"Need OLA review,Reviewed,OK"</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4C31D-9084-4FA4-8603-F9044178F01A}">
  <sheetPr>
    <pageSetUpPr fitToPage="1"/>
  </sheetPr>
  <dimension ref="A1:N95"/>
  <sheetViews>
    <sheetView showGridLines="0" topLeftCell="A15" zoomScaleNormal="100" workbookViewId="0">
      <selection activeCell="F19" sqref="F19"/>
    </sheetView>
  </sheetViews>
  <sheetFormatPr baseColWidth="10" defaultColWidth="8.83203125" defaultRowHeight="13"/>
  <cols>
    <col min="1" max="1" width="3.6640625" style="44" customWidth="1"/>
    <col min="2" max="2" width="13.1640625" style="44" customWidth="1"/>
    <col min="3" max="3" width="5.1640625" style="44" customWidth="1"/>
    <col min="4" max="4" width="27.83203125" style="44" customWidth="1"/>
    <col min="5" max="5" width="8.83203125" style="51" customWidth="1"/>
    <col min="6" max="6" width="15.83203125" style="51" customWidth="1"/>
    <col min="7" max="7" width="28" style="51" customWidth="1"/>
    <col min="8" max="8" width="9" style="52" customWidth="1"/>
    <col min="9" max="9" width="28.83203125" style="51" customWidth="1"/>
    <col min="10" max="10" width="8.1640625" style="51" customWidth="1"/>
    <col min="11" max="11" width="34.6640625" style="44" customWidth="1"/>
    <col min="12" max="12" width="6.1640625" style="45" customWidth="1"/>
    <col min="13" max="13" width="10.5" style="46" customWidth="1"/>
    <col min="14" max="14" width="7.5" style="44" customWidth="1"/>
    <col min="15" max="16384" width="8.83203125" style="44"/>
  </cols>
  <sheetData>
    <row r="1" spans="1:14" ht="22">
      <c r="A1" s="47" t="s">
        <v>1256</v>
      </c>
    </row>
    <row r="2" spans="1:14" ht="16">
      <c r="A2" s="60" t="s">
        <v>1257</v>
      </c>
    </row>
    <row r="4" spans="1:14" ht="56">
      <c r="A4" s="44" t="s">
        <v>496</v>
      </c>
      <c r="B4" s="44" t="s">
        <v>47</v>
      </c>
      <c r="C4" s="44" t="s">
        <v>1258</v>
      </c>
      <c r="D4" s="44" t="s">
        <v>1259</v>
      </c>
      <c r="E4" s="51" t="s">
        <v>49</v>
      </c>
      <c r="F4" s="51" t="s">
        <v>498</v>
      </c>
      <c r="G4" s="51" t="s">
        <v>1260</v>
      </c>
      <c r="H4" s="52" t="s">
        <v>1261</v>
      </c>
      <c r="I4" s="51" t="s">
        <v>1262</v>
      </c>
      <c r="J4" s="51" t="s">
        <v>1263</v>
      </c>
      <c r="K4" s="48" t="s">
        <v>1264</v>
      </c>
      <c r="L4" s="49" t="s">
        <v>1265</v>
      </c>
      <c r="M4" s="50" t="s">
        <v>1266</v>
      </c>
      <c r="N4" s="44" t="s">
        <v>1267</v>
      </c>
    </row>
    <row r="5" spans="1:14" ht="84">
      <c r="A5" s="44">
        <f>'Action Tracking'!A6</f>
        <v>1</v>
      </c>
      <c r="B5" s="44" t="str">
        <f>'Action Tracking'!B6</f>
        <v>WP1: Peace operations (task delegation; review)</v>
      </c>
      <c r="C5" s="44">
        <f>'Action Tracking'!C6</f>
        <v>14</v>
      </c>
      <c r="D5" s="44" t="str">
        <f>'Action Tracking'!D6</f>
        <v xml:space="preserve">Delegate relevant programmatic tasks such as rule of law, governance and child protection – and the associated resources – to UN system entities best equipped to deliver them.
</v>
      </c>
      <c r="E5" s="51" t="str">
        <f>'Action Tracking'!F6</f>
        <v>USG DPPA; USG DPO</v>
      </c>
      <c r="F5" s="51" t="str">
        <f>'Action Tracking'!I6</f>
        <v>DPPA; DPO; UNDP; OCHA; DCO; OHCHR; UNICEF; UN Women; OSRSG CAAC; OSRSG SVC</v>
      </c>
      <c r="G5" s="51" t="str">
        <f>'Action Tracking'!J6</f>
        <v>Language on delegation included in the draft review of peace ops that includes the overall reset, to be sent to SG for approval.</v>
      </c>
      <c r="H5" s="52">
        <f>'Action Tracking'!K6</f>
        <v>46068</v>
      </c>
      <c r="I5" s="51" t="str">
        <f>'Action Tracking'!L6</f>
        <v>Concept note and roadmap to be finalized by DPO and DPPA, for SG's consideration.</v>
      </c>
      <c r="J5" s="52">
        <f>'Action Tracking'!M6</f>
        <v>46183</v>
      </c>
      <c r="K5" s="48" t="str">
        <f>'Action Tracking'!V6</f>
        <v>Draft review of the future of peace operations (requested in GA resolution 79/1) submitted for the Secretary-General's consideration</v>
      </c>
      <c r="L5" s="49">
        <f>'Action Tracking'!W6</f>
        <v>46068</v>
      </c>
      <c r="M5" s="50">
        <f>'Action Tracking'!X6</f>
        <v>0</v>
      </c>
      <c r="N5" s="44" t="str">
        <f>'Action Tracking'!Z6</f>
        <v>OK</v>
      </c>
    </row>
    <row r="6" spans="1:14" ht="71" thickBot="1">
      <c r="A6" s="61">
        <f>'Action Tracking'!A7</f>
        <v>1</v>
      </c>
      <c r="B6" s="61" t="str">
        <f>'Action Tracking'!B7</f>
        <v>WP1: Peace operations (task delegation; review)</v>
      </c>
      <c r="C6" s="61">
        <f>'Action Tracking'!C7</f>
        <v>15</v>
      </c>
      <c r="D6" s="61" t="str">
        <f>'Action Tracking'!D7</f>
        <v>Present comprehensive proposal for the reset of peace operations to Member States upon conclusion of the review mandated by the Pact for the Future.</v>
      </c>
      <c r="E6" s="62" t="str">
        <f>'Action Tracking'!F7</f>
        <v>USG DPPA; USG DPO</v>
      </c>
      <c r="F6" s="62" t="str">
        <f>'Action Tracking'!I7</f>
        <v>DPPA; DPO</v>
      </c>
      <c r="G6" s="62" t="str">
        <f>'Action Tracking'!J7</f>
        <v>Draft of the review of the future of all forms of peace operations, including recommendations on a reset of peace operations, submitted to the Secretary-General</v>
      </c>
      <c r="H6" s="63">
        <f>'Action Tracking'!K7</f>
        <v>46068</v>
      </c>
      <c r="I6" s="62" t="str">
        <f>'Action Tracking'!L7</f>
        <v>Review of the future of peace operations, including recommendations on a reset of peace operations, finalised (final date dependent on SG clearance).</v>
      </c>
      <c r="J6" s="63">
        <f>'Action Tracking'!M7</f>
        <v>46112</v>
      </c>
      <c r="K6" s="64" t="str">
        <f>'Action Tracking'!V7</f>
        <v>Draft review of the future of peace operations (requested in GA resolution 79/1) submitted for the Secretary-General's consideration</v>
      </c>
      <c r="L6" s="65">
        <f>'Action Tracking'!W7</f>
        <v>46068</v>
      </c>
      <c r="M6" s="66">
        <f>'Action Tracking'!X7</f>
        <v>0</v>
      </c>
      <c r="N6" s="61" t="str">
        <f>'Action Tracking'!Z7</f>
        <v>OK</v>
      </c>
    </row>
    <row r="7" spans="1:14" ht="56">
      <c r="A7" s="44">
        <f>'Action Tracking'!A8</f>
        <v>2</v>
      </c>
      <c r="B7" s="44" t="str">
        <f>'Action Tracking'!B8</f>
        <v>WP2: New Humanitarian Compact</v>
      </c>
      <c r="C7" s="44">
        <f>'Action Tracking'!C8</f>
        <v>16</v>
      </c>
      <c r="D7" s="44" t="str">
        <f>'Action Tracking'!D8</f>
        <v>Streamline Humanitarian Needs and Response Plans to become shorter and sharper</v>
      </c>
      <c r="E7" s="51" t="str">
        <f>'Action Tracking'!F8</f>
        <v>USG OCHA</v>
      </c>
      <c r="F7" s="51" t="str">
        <f>'Action Tracking'!I8</f>
        <v>OCHA</v>
      </c>
      <c r="G7" s="51" t="str">
        <f>'Action Tracking'!J8</f>
        <v>By Q1 2026, publication of 2026 Humanitarian Response Plans (HNRPs) that are shorter, sharper and increasingly digitized</v>
      </c>
      <c r="H7" s="52">
        <f>'Action Tracking'!K8</f>
        <v>46111</v>
      </c>
      <c r="I7" s="51" t="str">
        <f>'Action Tracking'!L8</f>
        <v>By Q1 2026, publication of 2026 Humanitarian Response Plans (HNRPs) that are shorter, sharper and increasingly digitized</v>
      </c>
      <c r="J7" s="52">
        <f>'Action Tracking'!M8</f>
        <v>46111</v>
      </c>
      <c r="K7" s="48" t="str">
        <f>'Action Tracking'!V8</f>
        <v>Humanitarian Response Plans for 2026 published in shorter and more digital format</v>
      </c>
      <c r="L7" s="49">
        <f>'Action Tracking'!W8</f>
        <v>46111</v>
      </c>
      <c r="M7" s="50">
        <f>'Action Tracking'!X8</f>
        <v>0</v>
      </c>
      <c r="N7" s="44" t="str">
        <f>'Action Tracking'!Z8</f>
        <v>OK</v>
      </c>
    </row>
    <row r="8" spans="1:14" ht="70">
      <c r="A8" s="44">
        <f>'Action Tracking'!A9</f>
        <v>2</v>
      </c>
      <c r="B8" s="44" t="str">
        <f>'Action Tracking'!B9</f>
        <v>WP2: New Humanitarian Compact</v>
      </c>
      <c r="C8" s="44">
        <f>'Action Tracking'!C9</f>
        <v>17</v>
      </c>
      <c r="D8" s="44" t="str">
        <f>'Action Tracking'!D9</f>
        <v xml:space="preserve">Integrate global supply chains, coordinating procurement of key items, pool use of global freight and logistics, and unbranded in-country services open to the entire UN system </v>
      </c>
      <c r="E8" s="51" t="str">
        <f>'Action Tracking'!F9</f>
        <v>USG OCHA</v>
      </c>
      <c r="F8" s="51" t="str">
        <f>'Action Tracking'!I9</f>
        <v>OCHA; UNICEF; WFP; DOS</v>
      </c>
      <c r="G8" s="51" t="str">
        <f>'Action Tracking'!J9</f>
        <v>Interagency supply chain design endorsed by participating agencies, and starter locations agreed</v>
      </c>
      <c r="H8" s="52">
        <f>'Action Tracking'!K9</f>
        <v>46052</v>
      </c>
      <c r="I8" s="51" t="str">
        <f>'Action Tracking'!L9</f>
        <v>Integrated UN supply chain operational across agencies, with joint procurement and shared logistics in starter countries, improving speed and cost</v>
      </c>
      <c r="J8" s="52">
        <f>'Action Tracking'!M9</f>
        <v>46264</v>
      </c>
      <c r="K8" s="48" t="str">
        <f>'Action Tracking'!V9</f>
        <v>Integrated supply chain operational in starter countries</v>
      </c>
      <c r="L8" s="49">
        <f>'Action Tracking'!W9</f>
        <v>46264</v>
      </c>
      <c r="M8" s="50">
        <f>'Action Tracking'!X9</f>
        <v>0</v>
      </c>
      <c r="N8" s="44" t="str">
        <f>'Action Tracking'!Z9</f>
        <v>OK</v>
      </c>
    </row>
    <row r="9" spans="1:14" ht="70">
      <c r="A9" s="44">
        <f>'Action Tracking'!A10</f>
        <v>2</v>
      </c>
      <c r="B9" s="44" t="str">
        <f>'Action Tracking'!B10</f>
        <v>WP2: New Humanitarian Compact</v>
      </c>
      <c r="C9" s="44">
        <f>'Action Tracking'!C10</f>
        <v>18</v>
      </c>
      <c r="D9" s="44" t="str">
        <f>'Action Tracking'!D10</f>
        <v>Scale common services with a Global Services Hub and interoperable digital platforms to help consolidate surge rosters, logistics, security, telecoms and engineering support</v>
      </c>
      <c r="E9" s="51" t="str">
        <f>'Action Tracking'!F10</f>
        <v>USG OCHA</v>
      </c>
      <c r="F9" s="51" t="str">
        <f>'Action Tracking'!I10</f>
        <v>OCHA; UNHCR; WFP</v>
      </c>
      <c r="G9" s="51" t="str">
        <f>'Action Tracking'!J10</f>
        <v>Initial package of priority common services identified, based on existing practices (e.g. fleet, booking, engineering, connectivity, security/emergency mgmt</v>
      </c>
      <c r="H9" s="52">
        <f>'Action Tracking'!K10</f>
        <v>46052</v>
      </c>
      <c r="I9" s="51" t="str">
        <f>'Action Tracking'!L10</f>
        <v>Priority common services expanded across several contexts with multiple agencies, with a review demonstrating clearer and more efficient shared delivery</v>
      </c>
      <c r="J9" s="52">
        <f>'Action Tracking'!M10</f>
        <v>46264</v>
      </c>
      <c r="K9" s="48" t="str">
        <f>'Action Tracking'!V10</f>
        <v>Priority common services expanded to cover multiple agencies and contexts</v>
      </c>
      <c r="L9" s="49">
        <f>'Action Tracking'!W10</f>
        <v>46264</v>
      </c>
      <c r="M9" s="50">
        <f>'Action Tracking'!X10</f>
        <v>0</v>
      </c>
      <c r="N9" s="44" t="str">
        <f>'Action Tracking'!Z10</f>
        <v>OK</v>
      </c>
    </row>
    <row r="10" spans="1:14" ht="70">
      <c r="A10" s="44">
        <f>'Action Tracking'!A11</f>
        <v>2</v>
      </c>
      <c r="B10" s="44" t="str">
        <f>'Action Tracking'!B11</f>
        <v>WP2: New Humanitarian Compact</v>
      </c>
      <c r="C10" s="44">
        <f>'Action Tracking'!C11</f>
        <v>20</v>
      </c>
      <c r="D10" s="44" t="str">
        <f>'Action Tracking'!D11</f>
        <v>Initiate new Humanitarian Data Collaborative, to scale common platforms, collective financing, shared centres, capacities and standards</v>
      </c>
      <c r="E10" s="51" t="str">
        <f>'Action Tracking'!F11</f>
        <v>USG OCHA</v>
      </c>
      <c r="F10" s="51" t="str">
        <f>'Action Tracking'!I11</f>
        <v>OCHA; UNHCR; UNICEF; WFP; IOM</v>
      </c>
      <c r="G10" s="51" t="str">
        <f>'Action Tracking'!J11</f>
        <v xml:space="preserve">Humanitarian Cluster Data Workplan finalized, including quick wins, starter countries, governance options and a joint data-sharing ambition
</v>
      </c>
      <c r="H10" s="52">
        <f>'Action Tracking'!K11</f>
        <v>46052</v>
      </c>
      <c r="I10" s="51" t="str">
        <f>'Action Tracking'!L11</f>
        <v>Humanitarian Data Collaborative established, scaling platforms, financing and shared capacities and standards</v>
      </c>
      <c r="J10" s="52">
        <f>'Action Tracking'!M11</f>
        <v>46264</v>
      </c>
      <c r="K10" s="48" t="str">
        <f>'Action Tracking'!V11</f>
        <v>Collaborative established, scaling joint platforms, financing, capacities and standards</v>
      </c>
      <c r="L10" s="49">
        <f>'Action Tracking'!W11</f>
        <v>46264</v>
      </c>
      <c r="M10" s="50">
        <f>'Action Tracking'!X11</f>
        <v>0</v>
      </c>
      <c r="N10" s="44" t="str">
        <f>'Action Tracking'!Z11</f>
        <v>OK</v>
      </c>
    </row>
    <row r="11" spans="1:14" ht="56">
      <c r="A11" s="44">
        <f>'Action Tracking'!A12</f>
        <v>2</v>
      </c>
      <c r="B11" s="44" t="str">
        <f>'Action Tracking'!B12</f>
        <v>WP2: New Humanitarian Compact</v>
      </c>
      <c r="C11" s="44">
        <f>'Action Tracking'!C12</f>
        <v>21</v>
      </c>
      <c r="D11" s="44" t="str">
        <f>'Action Tracking'!D12</f>
        <v>Initiate Collaborative Humanitarian Diplomacy Initiative to bring agencies together under the coordination of the Emergency Relief Coordinator</v>
      </c>
      <c r="E11" s="51" t="str">
        <f>'Action Tracking'!F12</f>
        <v>USG OCHA</v>
      </c>
      <c r="F11" s="51" t="str">
        <f>'Action Tracking'!I12</f>
        <v>OCHA; UNHCR; UNICEF; WFP; IOM</v>
      </c>
      <c r="G11" s="51" t="str">
        <f>'Action Tracking'!J12</f>
        <v>Principals’ Humanitarian Diplomacy mechanism launched, with agreed priorities, meeting cadence, and initial crisis list identified</v>
      </c>
      <c r="H11" s="52">
        <f>'Action Tracking'!K12</f>
        <v>46052</v>
      </c>
      <c r="I11" s="51" t="str">
        <f>'Action Tracking'!L12</f>
        <v>Collab. humanitarian diplomacy functioning system-wide with coordinated messaging, shared strategies and clear impact in priority crises</v>
      </c>
      <c r="J11" s="52">
        <f>'Action Tracking'!M12</f>
        <v>46264</v>
      </c>
      <c r="K11" s="48" t="str">
        <f>'Action Tracking'!V12</f>
        <v>Initiative functioning system-wide, with joint messaging and  strategies for priority crises</v>
      </c>
      <c r="L11" s="49">
        <f>'Action Tracking'!W12</f>
        <v>46264</v>
      </c>
      <c r="M11" s="50">
        <f>'Action Tracking'!X12</f>
        <v>0</v>
      </c>
      <c r="N11" s="44" t="str">
        <f>'Action Tracking'!Z12</f>
        <v>OK</v>
      </c>
    </row>
    <row r="12" spans="1:14" ht="70">
      <c r="A12" s="44">
        <f>'Action Tracking'!A13</f>
        <v>2</v>
      </c>
      <c r="B12" s="44" t="str">
        <f>'Action Tracking'!B13</f>
        <v>WP2: New Humanitarian Compact</v>
      </c>
      <c r="C12" s="44">
        <f>'Action Tracking'!C13</f>
        <v>22</v>
      </c>
      <c r="D12" s="44" t="str">
        <f>'Action Tracking'!D13</f>
        <v xml:space="preserve">Align agencies’ responsibilities: FAO/WFP/IFAD on food security </v>
      </c>
      <c r="E12" s="51" t="str">
        <f>'Action Tracking'!F13</f>
        <v>USG OCHA</v>
      </c>
      <c r="F12" s="51" t="str">
        <f>'Action Tracking'!I13</f>
        <v>WFP; FAO; IFAD; OCHA</v>
      </c>
      <c r="G12" s="51" t="str">
        <f>'Action Tracking'!J13</f>
        <v>RBAs agree on a light, practical approach for more coherent work 			in fragile settings, clarifying complementary roles, choosing 				small number of priority countries</v>
      </c>
      <c r="H12" s="52">
        <f>'Action Tracking'!K13</f>
        <v>46052</v>
      </c>
      <c r="I12" s="51" t="str">
        <f>'Action Tracking'!L13</f>
        <v>In priority contexts, RBAs show clearer alignment in practice, with better sequencing and less duplication, and share a short lessons-learned note to UN80 bodies</v>
      </c>
      <c r="J12" s="52">
        <f>'Action Tracking'!M13</f>
        <v>46264</v>
      </c>
      <c r="K12" s="48" t="str">
        <f>'Action Tracking'!V13</f>
        <v>Approaches for more coherent work finalized for priority settings</v>
      </c>
      <c r="L12" s="49">
        <f>'Action Tracking'!W13</f>
        <v>46052</v>
      </c>
      <c r="M12" s="50">
        <f>'Action Tracking'!X13</f>
        <v>0</v>
      </c>
      <c r="N12" s="44" t="str">
        <f>'Action Tracking'!Z13</f>
        <v>OK</v>
      </c>
    </row>
    <row r="13" spans="1:14" ht="84">
      <c r="A13" s="44">
        <f>'Action Tracking'!A14</f>
        <v>2</v>
      </c>
      <c r="B13" s="44" t="str">
        <f>'Action Tracking'!B14</f>
        <v>WP2: New Humanitarian Compact</v>
      </c>
      <c r="C13" s="44">
        <f>'Action Tracking'!C14</f>
        <v>23</v>
      </c>
      <c r="D13" s="44" t="str">
        <f>'Action Tracking'!D14</f>
        <v xml:space="preserve">Align agencies’ responsibilities: UNHCR/IOM on joint institutional approaches (incl. route-based programming) </v>
      </c>
      <c r="E13" s="51" t="str">
        <f>'Action Tracking'!F14</f>
        <v>USG OCHA</v>
      </c>
      <c r="F13" s="51" t="str">
        <f>'Action Tracking'!I14</f>
        <v>UNHCR; IOM; OCHA</v>
      </c>
      <c r="G13" s="51" t="str">
        <f>'Action Tracking'!J14</f>
        <v>2–3 priority contexts are selected for agreement on context-specific approaches to enhance complementary operationalization of the Route-Based Approach, with comprehensive and connected interventions along routes</v>
      </c>
      <c r="H13" s="52">
        <f>'Action Tracking'!K14</f>
        <v>46052</v>
      </c>
      <c r="I13" s="51" t="str">
        <f>'Action Tracking'!L14</f>
        <v>In those contexts, complementarity is demonstrated by UNHCR and IOM in operationalizing Route-Based programming, with clear roles, planning and coordination, and practical observations and lessons are shared with UN80 bodies</v>
      </c>
      <c r="J13" s="52">
        <f>'Action Tracking'!M14</f>
        <v>46264</v>
      </c>
      <c r="K13" s="48" t="str">
        <f>'Action Tracking'!V14</f>
        <v xml:space="preserve">Benefits of complementarity demonstrated along priority routes </v>
      </c>
      <c r="L13" s="49">
        <f>'Action Tracking'!W14</f>
        <v>46264</v>
      </c>
      <c r="M13" s="50">
        <f>'Action Tracking'!X14</f>
        <v>0</v>
      </c>
      <c r="N13" s="44" t="str">
        <f>'Action Tracking'!Z14</f>
        <v>OK</v>
      </c>
    </row>
    <row r="14" spans="1:14" ht="126">
      <c r="A14" s="44">
        <f>'Action Tracking'!A15</f>
        <v>2</v>
      </c>
      <c r="B14" s="44" t="str">
        <f>'Action Tracking'!B15</f>
        <v>WP2: New Humanitarian Compact</v>
      </c>
      <c r="C14" s="44">
        <f>'Action Tracking'!C15</f>
        <v>24</v>
      </c>
      <c r="D14" s="44" t="str">
        <f>'Action Tracking'!D15</f>
        <v>Align agencies’ responsibilities: UNICEF/WFP/UNHCR/IOM on beneficiary data</v>
      </c>
      <c r="E14" s="51" t="str">
        <f>'Action Tracking'!F15</f>
        <v>USG OCHA</v>
      </c>
      <c r="F14" s="51" t="str">
        <f>'Action Tracking'!I15</f>
        <v>UNHCR; IOM; UNICEF; WFP</v>
      </c>
      <c r="G14" s="51" t="str">
        <f>'Action Tracking'!J15</f>
        <v>Agree on shared principles for beneficiary data interoperability, including privacy-by-design, consent, proportionality, and purpose limitation; identify 1–2 priority contexts for initial interoperability application across existing agency systems (e.g. HOPE, PRIMES, SCOPE, BRAVE), based on clearly defined operational use cases</v>
      </c>
      <c r="H14" s="52">
        <f>'Action Tracking'!K15</f>
        <v>46052</v>
      </c>
      <c r="I14" s="51" t="str">
        <f>'Action Tracking'!L15</f>
        <v>Demonstrate reduced duplication and improved service delivery in pilot contexts through secure, federated data exchange; document practical lessons learned and technical patterns to inform future scaling and policy discussions</v>
      </c>
      <c r="J14" s="52">
        <f>'Action Tracking'!M15</f>
        <v>46264</v>
      </c>
      <c r="K14" s="48" t="str">
        <f>'Action Tracking'!V15</f>
        <v>Benefits of federated, standards-based beneficiary data exchange demonstrated in priority contexts to inform scale-up</v>
      </c>
      <c r="L14" s="49">
        <f>'Action Tracking'!W15</f>
        <v>46264</v>
      </c>
      <c r="M14" s="50">
        <f>'Action Tracking'!X15</f>
        <v>0</v>
      </c>
      <c r="N14" s="44" t="str">
        <f>'Action Tracking'!Z15</f>
        <v>OK</v>
      </c>
    </row>
    <row r="15" spans="1:14" ht="127" thickBot="1">
      <c r="A15" s="61">
        <f>'Action Tracking'!A16</f>
        <v>2</v>
      </c>
      <c r="B15" s="61" t="str">
        <f>'Action Tracking'!B16</f>
        <v>WP2: New Humanitarian Compact</v>
      </c>
      <c r="C15" s="61">
        <f>'Action Tracking'!C16</f>
        <v>25</v>
      </c>
      <c r="D15" s="61" t="str">
        <f>'Action Tracking'!D16</f>
        <v>Align agencies’ responsibilities: WHO/UNICEF/WFP on health and nutrition</v>
      </c>
      <c r="E15" s="62" t="str">
        <f>'Action Tracking'!F16</f>
        <v>USG OCHA</v>
      </c>
      <c r="F15" s="62" t="str">
        <f>'Action Tracking'!I16</f>
        <v>UNICEF; WFP; OCHA; WHO</v>
      </c>
      <c r="G15" s="62" t="str">
        <f>'Action Tracking'!J16</f>
        <v>Dedicated discussion held with relevant agencies, to identify priority areas where roles and responsibilities in health and nutrition emergency response require greater clarity (including health–nutrition interfaces and acute malnutrition response), with initial parameters agreed for complementarity</v>
      </c>
      <c r="H15" s="63">
        <f>'Action Tracking'!K16</f>
        <v>46052</v>
      </c>
      <c r="I15" s="62" t="str">
        <f>'Action Tracking'!L16</f>
        <v>Clearly defined roles and responsibilities for nutrition and health emergencies, developed separately under the respective Clusters, are compiled into concise reference material for field leadership and for Nutrition and Health Cluster partners respectively, with linkages between the two areas clearly described, and with factual observations shared with UN80 bodies</v>
      </c>
      <c r="J15" s="63">
        <f>'Action Tracking'!M16</f>
        <v>46264</v>
      </c>
      <c r="K15" s="64" t="str">
        <f>'Action Tracking'!V16</f>
        <v>Cluster-defined roles for health and nutrition emergencies consolidated into practical guidance material</v>
      </c>
      <c r="L15" s="65">
        <f>'Action Tracking'!W16</f>
        <v>46264</v>
      </c>
      <c r="M15" s="66">
        <f>'Action Tracking'!X16</f>
        <v>0</v>
      </c>
      <c r="N15" s="61" t="str">
        <f>'Action Tracking'!Z16</f>
        <v>OK</v>
      </c>
    </row>
    <row r="16" spans="1:14" ht="57" thickBot="1">
      <c r="A16" s="67">
        <f>'Action Tracking'!A17</f>
        <v>3</v>
      </c>
      <c r="B16" s="67" t="str">
        <f>'Action Tracking'!B17</f>
        <v>WP3: UNDP/UNOPS</v>
      </c>
      <c r="C16" s="67">
        <f>'Action Tracking'!C17</f>
        <v>26</v>
      </c>
      <c r="D16" s="67" t="str">
        <f>'Action Tracking'!D17</f>
        <v>Conduct a thorough assessment of the benefits of a merger between UNDP and UNOPS; analysis to be presented to the Executive Boards in February 2026</v>
      </c>
      <c r="E16" s="68" t="str">
        <f>'Action Tracking'!F17</f>
        <v>DSG; Administrator UNDP; ED UNOPS</v>
      </c>
      <c r="F16" s="68" t="str">
        <f>'Action Tracking'!I17</f>
        <v>EOSG (ODSG); UNDP; UNOPS</v>
      </c>
      <c r="G16" s="68" t="str">
        <f>'Action Tracking'!J17</f>
        <v>Draft initial assessment analysis of the ‘as is’ with high level merger proposal, pros, cons, risk analysis for internal consultations completed</v>
      </c>
      <c r="H16" s="69">
        <f>'Action Tracking'!K17</f>
        <v>46040</v>
      </c>
      <c r="I16" s="68" t="str">
        <f>'Action Tracking'!L17</f>
        <v>Thorough assessment of selected option(s) provided to Member States and guidance given through a General Assembly decision</v>
      </c>
      <c r="J16" s="69">
        <f>'Action Tracking'!M17</f>
        <v>46264</v>
      </c>
      <c r="K16" s="70" t="str">
        <f>'Action Tracking'!V17</f>
        <v>Initial analysis for the assessment completed for the Secretary-General's consideration</v>
      </c>
      <c r="L16" s="71">
        <f>'Action Tracking'!W17</f>
        <v>46081</v>
      </c>
      <c r="M16" s="72">
        <f>'Action Tracking'!X17</f>
        <v>0</v>
      </c>
      <c r="N16" s="73" t="str">
        <f>'Action Tracking'!Z17</f>
        <v>OK</v>
      </c>
    </row>
    <row r="17" spans="1:14" ht="42">
      <c r="A17" s="44">
        <f>'Action Tracking'!A18</f>
        <v>4</v>
      </c>
      <c r="B17" s="44" t="str">
        <f>'Action Tracking'!B18</f>
        <v>WP4: UNFPA/UN Women</v>
      </c>
      <c r="C17" s="44">
        <f>'Action Tracking'!C18</f>
        <v>27</v>
      </c>
      <c r="D17" s="44" t="str">
        <f>'Action Tracking'!D18</f>
        <v xml:space="preserve">Conduct a thorough assessment of the benefits of a merger of UNFPA and UN Women and their respective mandates </v>
      </c>
      <c r="E17" s="51" t="str">
        <f>'Action Tracking'!F18</f>
        <v>DSG; ED UNFPA; ED UN Women</v>
      </c>
      <c r="F17" s="51" t="str">
        <f>'Action Tracking'!I18</f>
        <v>EOSG (ODSG); UN Women; UNFPA</v>
      </c>
      <c r="G17" s="51" t="str">
        <f>'Action Tracking'!J18</f>
        <v>Strategic merger assessment completed for internal consultations, including risk/benefit considerations</v>
      </c>
      <c r="H17" s="52">
        <f>'Action Tracking'!K18</f>
        <v>46052</v>
      </c>
      <c r="I17" s="51" t="str">
        <f>'Action Tracking'!L18</f>
        <v>By mid-2026, a thorough assessment is provided to Member States for a General Assembly decision</v>
      </c>
      <c r="J17" s="52">
        <f>'Action Tracking'!M18</f>
        <v>46233</v>
      </c>
      <c r="K17" s="48" t="str">
        <f>'Action Tracking'!V18</f>
        <v>Initial merger assessment completed for the Secretary-General's consideration</v>
      </c>
      <c r="L17" s="49">
        <f>'Action Tracking'!W18</f>
        <v>46081</v>
      </c>
      <c r="M17" s="50">
        <f>'Action Tracking'!X18</f>
        <v>0</v>
      </c>
      <c r="N17" s="59" t="str">
        <f>'Action Tracking'!Z18</f>
        <v>OK</v>
      </c>
    </row>
    <row r="18" spans="1:14" ht="71" thickBot="1">
      <c r="A18" s="61">
        <f>'Action Tracking'!A19</f>
        <v>4</v>
      </c>
      <c r="B18" s="61" t="str">
        <f>'Action Tracking'!B19</f>
        <v>WP4: UNFPA/UN Women</v>
      </c>
      <c r="C18" s="61">
        <f>'Action Tracking'!C19</f>
        <v>28</v>
      </c>
      <c r="D18" s="61" t="str">
        <f>'Action Tracking'!D19</f>
        <v>Conduct a thorough assessment to consider options to optimize normative functions of UNFPA on population statistics and related activities, including those currently undertaken by DESA</v>
      </c>
      <c r="E18" s="62" t="str">
        <f>'Action Tracking'!F19</f>
        <v>DSG; ED UNFPA; ED UN Women</v>
      </c>
      <c r="F18" s="62" t="str">
        <f>'Action Tracking'!I19</f>
        <v>EOSG (ODSG); UN Women; UNFPA</v>
      </c>
      <c r="G18" s="62" t="str">
        <f>'Action Tracking'!J19</f>
        <v xml:space="preserve">Options for optimization of the UN’s work on population statistics and related activities finalized for Secretary-General's consideration and integrated in merger analysis </v>
      </c>
      <c r="H18" s="63">
        <f>'Action Tracking'!K19</f>
        <v>46052</v>
      </c>
      <c r="I18" s="62" t="str">
        <f>'Action Tracking'!L19</f>
        <v>A final assessment integrated into the UN Women/UNFPA merger process, as per timelines above</v>
      </c>
      <c r="J18" s="63">
        <f>'Action Tracking'!M19</f>
        <v>46233</v>
      </c>
      <c r="K18" s="64" t="str">
        <f>'Action Tracking'!V19</f>
        <v>As part of strategic merger assessment (action 27), initial assessment of the UN system’s work on population statistics and related activities finalized for the Secretary-General's consideration</v>
      </c>
      <c r="L18" s="65">
        <f>'Action Tracking'!W19</f>
        <v>46081</v>
      </c>
      <c r="M18" s="66">
        <f>'Action Tracking'!X19</f>
        <v>0</v>
      </c>
      <c r="N18" s="74" t="str">
        <f>'Action Tracking'!Z19</f>
        <v>OK</v>
      </c>
    </row>
    <row r="19" spans="1:14" ht="70">
      <c r="A19" s="44">
        <f>'Action Tracking'!A20</f>
        <v>5</v>
      </c>
      <c r="B19" s="44" t="str">
        <f>'Action Tracking'!B20</f>
        <v>WP5: UNCT reconfiguration</v>
      </c>
      <c r="C19" s="44">
        <f>'Action Tracking'!C20</f>
        <v>39</v>
      </c>
      <c r="D19" s="44" t="str">
        <f>'Action Tracking'!D20</f>
        <v>Propose a model to reconfigure country teams via system-wide working group, chaired by the Deputy Secretary-General</v>
      </c>
      <c r="E19" s="51" t="str">
        <f>'Action Tracking'!F20</f>
        <v>DSG</v>
      </c>
      <c r="F19" s="51" t="str">
        <f>'Action Tracking'!I20</f>
        <v>EOSG (ODSG); UNOPS; UNSDG</v>
      </c>
      <c r="G19" s="51" t="str">
        <f>'Action Tracking'!J20</f>
        <v>Outline of the draft proposals presented to the Secretary-General for guidance</v>
      </c>
      <c r="H19" s="52">
        <f>'Action Tracking'!K20</f>
        <v>46053</v>
      </c>
      <c r="I19" s="51" t="str">
        <f>'Action Tracking'!L20</f>
        <v xml:space="preserve">Recommendations on country configuration finalized for Secretary-General’s consideration, and relayed to Member States in the most appropriate format. </v>
      </c>
      <c r="J19" s="52">
        <f>'Action Tracking'!M20</f>
        <v>46263</v>
      </c>
      <c r="K19" s="48" t="str">
        <f>'Action Tracking'!V20</f>
        <v>System-wide working group convened and building blocks for proposals for UN country teams reconfiguration finalized for the Secretary-General's consideration</v>
      </c>
      <c r="L19" s="49">
        <f>'Action Tracking'!W20</f>
        <v>46112</v>
      </c>
      <c r="M19" s="50">
        <f>'Action Tracking'!X20</f>
        <v>0</v>
      </c>
      <c r="N19" s="59" t="str">
        <f>'Action Tracking'!Z20</f>
        <v>OK</v>
      </c>
    </row>
    <row r="20" spans="1:14" ht="71" thickBot="1">
      <c r="A20" s="61">
        <f>'Action Tracking'!A21</f>
        <v>5</v>
      </c>
      <c r="B20" s="61" t="str">
        <f>'Action Tracking'!B21</f>
        <v>WP5: UNCT reconfiguration</v>
      </c>
      <c r="C20" s="61">
        <f>'Action Tracking'!C21</f>
        <v>40</v>
      </c>
      <c r="D20" s="61" t="str">
        <f>'Action Tracking'!D21</f>
        <v>Strengthen and recalibrate the Resident Coordinator system to better leverage knowledge hubs, expertise-on-demand, and non-resident entities</v>
      </c>
      <c r="E20" s="62" t="str">
        <f>'Action Tracking'!F21</f>
        <v>DSG</v>
      </c>
      <c r="F20" s="62" t="str">
        <f>'Action Tracking'!I21</f>
        <v>EOSG (ODSG); DCO; UNSDG</v>
      </c>
      <c r="G20" s="62" t="str">
        <f>'Action Tracking'!J21</f>
        <v>The parameters for the recalibration of the RC system defined (e.g., change in DCO structure, more tailored approach)</v>
      </c>
      <c r="H20" s="63">
        <f>'Action Tracking'!K21</f>
        <v>46052</v>
      </c>
      <c r="I20" s="62" t="str">
        <f>'Action Tracking'!L21</f>
        <v>All measures to recalibrate the RC system (DCO 2.0) implemented, under the Secretary-General’s authority, reflecting guidance from the appropriate legislative bodies</v>
      </c>
      <c r="J20" s="63">
        <f>'Action Tracking'!M21</f>
        <v>46263</v>
      </c>
      <c r="K20" s="64" t="str">
        <f>'Action Tracking'!V21</f>
        <v>Initial proposal for strengthening and recalibrating of the RC system prepared for Secretary-General's consideration</v>
      </c>
      <c r="L20" s="65">
        <f>'Action Tracking'!W21</f>
        <v>46112</v>
      </c>
      <c r="M20" s="66">
        <f>'Action Tracking'!X21</f>
        <v>0</v>
      </c>
      <c r="N20" s="74" t="str">
        <f>'Action Tracking'!Z21</f>
        <v>OK</v>
      </c>
    </row>
    <row r="21" spans="1:14" ht="98">
      <c r="A21" s="44">
        <f>'Action Tracking'!A22</f>
        <v>6</v>
      </c>
      <c r="B21" s="44" t="str">
        <f>'Action Tracking'!B22</f>
        <v>WP6: Regional reset</v>
      </c>
      <c r="C21" s="44">
        <f>'Action Tracking'!C22</f>
        <v>36</v>
      </c>
      <c r="D21" s="44" t="str">
        <f>'Action Tracking'!D22</f>
        <v>Establish a system-wide working group, chaired by the Deputy Secretary-General, to develop proposals on how to advance a reset of regional capacities for sustainable development, incl. on how to institutionalize Regional Integrated Platforms</v>
      </c>
      <c r="E21" s="51" t="str">
        <f>'Action Tracking'!F22</f>
        <v>DSG</v>
      </c>
      <c r="F21" s="51" t="str">
        <f>'Action Tracking'!I22</f>
        <v>EOSG (ODSG); ODA; UNSDG</v>
      </c>
      <c r="G21" s="51" t="str">
        <f>'Action Tracking'!J22</f>
        <v>System-wide working group convened and draft outline finalized and shared with the Secretary-General for guidance</v>
      </c>
      <c r="H21" s="52">
        <f>'Action Tracking'!K22</f>
        <v>46053</v>
      </c>
      <c r="I21" s="51" t="str">
        <f>'Action Tracking'!L22</f>
        <v xml:space="preserve">All aspects of the regional reset under SG prerogative implemented and proposals presented to Member States on aspects requiring new mandates </v>
      </c>
      <c r="J21" s="52">
        <f>'Action Tracking'!M22</f>
        <v>46263</v>
      </c>
      <c r="K21" s="48" t="str">
        <f>'Action Tracking'!V22</f>
        <v>System-wide working group convened and proposal for a regional reset of capacities for sustainable development and institutionalization of Regional Integrated Platforms shared with the Secretary-General for his consideration</v>
      </c>
      <c r="L21" s="49">
        <f>'Action Tracking'!W22</f>
        <v>46112</v>
      </c>
      <c r="M21" s="50">
        <f>'Action Tracking'!X22</f>
        <v>0</v>
      </c>
      <c r="N21" s="59" t="str">
        <f>'Action Tracking'!Z22</f>
        <v>OK</v>
      </c>
    </row>
    <row r="22" spans="1:14" ht="57" thickBot="1">
      <c r="A22" s="61">
        <f>'Action Tracking'!A23</f>
        <v>6</v>
      </c>
      <c r="B22" s="61" t="str">
        <f>'Action Tracking'!B23</f>
        <v>WP6: Regional reset</v>
      </c>
      <c r="C22" s="61">
        <f>'Action Tracking'!C23</f>
        <v>37</v>
      </c>
      <c r="D22" s="61" t="str">
        <f>'Action Tracking'!D23</f>
        <v>Systematize the practice of hosting regional capacities within the Regional Economic Commissions, starting with DCO regional directors and teams</v>
      </c>
      <c r="E22" s="62" t="str">
        <f>'Action Tracking'!F23</f>
        <v>DSG</v>
      </c>
      <c r="F22" s="62" t="str">
        <f>'Action Tracking'!I23</f>
        <v>EOSG (ODSG); ODA; DCO; UNSDG</v>
      </c>
      <c r="G22" s="62" t="str">
        <f>'Action Tracking'!J23</f>
        <v>Develop initial proposals for co-hosting for further consultation, taking into consideration the unique regional needs and contexts</v>
      </c>
      <c r="H22" s="63">
        <f>'Action Tracking'!K23</f>
        <v>46052</v>
      </c>
      <c r="I22" s="62" t="str">
        <f>'Action Tracking'!L23</f>
        <v>Relocation of respective offices to be hosted by RECs is complete or ongoing, according to implementation plan developed for each region by 29 May 2026</v>
      </c>
      <c r="J22" s="63">
        <f>'Action Tracking'!M23</f>
        <v>46170</v>
      </c>
      <c r="K22" s="64" t="str">
        <f>'Action Tracking'!V23</f>
        <v>Proposal for hosting regional capacities within the regional economic commissions is developed for the Secretary-General's consideration</v>
      </c>
      <c r="L22" s="65">
        <f>'Action Tracking'!W23</f>
        <v>46112</v>
      </c>
      <c r="M22" s="66">
        <f>'Action Tracking'!X23</f>
        <v>0</v>
      </c>
      <c r="N22" s="74" t="str">
        <f>'Action Tracking'!Z23</f>
        <v>OK</v>
      </c>
    </row>
    <row r="23" spans="1:14" ht="57" thickBot="1">
      <c r="A23" s="67">
        <f>'Action Tracking'!A24</f>
        <v>7</v>
      </c>
      <c r="B23" s="67" t="str">
        <f>'Action Tracking'!B24</f>
        <v>WP7: Joint knowledge hubs</v>
      </c>
      <c r="C23" s="67">
        <f>Sheet2!B3</f>
        <v>0</v>
      </c>
      <c r="D23" s="67">
        <f>Sheet2!C3</f>
        <v>0</v>
      </c>
      <c r="E23" s="68" t="str">
        <f>'Action Tracking'!F24</f>
        <v>USG DESA; SG UNCTAD</v>
      </c>
      <c r="F23" s="68" t="str">
        <f>'Action Tracking'!I24</f>
        <v>DESA; UNCTAD</v>
      </c>
      <c r="G23" s="68" t="str">
        <f>'Action Tracking'!J24</f>
        <v>The first meeting endorsed the concept note, agreed on hub list with leads, and committed to distinct value and collaboration with UN mechanisms</v>
      </c>
      <c r="H23" s="69">
        <f>'Action Tracking'!K24</f>
        <v>46052</v>
      </c>
      <c r="I23" s="68" t="str">
        <f>'Action Tracking'!L24</f>
        <v>Established hubs deliver coherent, efficient UN-wide support, integrating data and knowledge for policy coherence and innovative solutions</v>
      </c>
      <c r="J23" s="69">
        <f>'Action Tracking'!M24</f>
        <v>46283</v>
      </c>
      <c r="K23" s="70" t="str">
        <f>'Action Tracking'!V24</f>
        <v>Concept note delivered for the Secretary-General's consideration</v>
      </c>
      <c r="L23" s="71">
        <f>'Action Tracking'!W24</f>
        <v>46052</v>
      </c>
      <c r="M23" s="72">
        <f>'Action Tracking'!X24</f>
        <v>0</v>
      </c>
      <c r="N23" s="67" t="str">
        <f>'Action Tracking'!Z24</f>
        <v>OK</v>
      </c>
    </row>
    <row r="24" spans="1:14" ht="98">
      <c r="A24" s="44">
        <f>'Action Tracking'!A25</f>
        <v>8</v>
      </c>
      <c r="B24" s="44" t="str">
        <f>'Action Tracking'!B25</f>
        <v>WP8: Expertise-on-demand mechanism</v>
      </c>
      <c r="C24" s="44">
        <f>'Action Tracking'!C25</f>
        <v>34</v>
      </c>
      <c r="D24" s="44" t="str">
        <f>'Action Tracking'!D25</f>
        <v>Create a pro-active mechanism UN system-wide expertise on demand, particularly from specialized agencies and non-resident entities</v>
      </c>
      <c r="E24" s="51" t="str">
        <f>'Action Tracking'!F25</f>
        <v>SG ITU; Administrator UNDP</v>
      </c>
      <c r="F24" s="51" t="str">
        <f>'Action Tracking'!I25</f>
        <v>ITU; UNDP; FAO; ICAO; ILO; UNESCO; UNIDO; WHO; WMO; ITC; UN Women; UNOPS; ECA; ECE; ESCWA; UNCTAD; DESA; EOSG (SA); ECLAC</v>
      </c>
      <c r="G24" s="51" t="str">
        <f>'Action Tracking'!J25</f>
        <v>Concept endorsed (legal/financial assessment, catalogue design, and demand protocol and arrangements)</v>
      </c>
      <c r="H24" s="52">
        <f>'Action Tracking'!K25</f>
        <v>46052</v>
      </c>
      <c r="I24" s="51" t="str">
        <f>'Action Tracking'!L25</f>
        <v>EOD mechanism ready for system-wide operationalization: catalogue &amp; protocols prepared for activation and institutionalization.</v>
      </c>
      <c r="J24" s="52">
        <f>'Action Tracking'!M25</f>
        <v>46282</v>
      </c>
      <c r="K24" s="48" t="str">
        <f>'Action Tracking'!V25</f>
        <v>Expertise-on-demand approaches operational system-wide, including expertise catalogue and protocols</v>
      </c>
      <c r="L24" s="49">
        <f>'Action Tracking'!W25</f>
        <v>46282</v>
      </c>
      <c r="M24" s="50">
        <f>'Action Tracking'!X25</f>
        <v>0</v>
      </c>
      <c r="N24" s="44" t="str">
        <f>'Action Tracking'!Z25</f>
        <v>OK</v>
      </c>
    </row>
    <row r="25" spans="1:14" ht="99" thickBot="1">
      <c r="A25" s="61">
        <f>'Action Tracking'!A26</f>
        <v>8</v>
      </c>
      <c r="B25" s="61" t="str">
        <f>'Action Tracking'!B26</f>
        <v>WP8: Expertise-on-demand mechanism</v>
      </c>
      <c r="C25" s="61">
        <f>'Action Tracking'!C26</f>
        <v>54</v>
      </c>
      <c r="D25" s="61" t="str">
        <f>'Action Tracking'!D26</f>
        <v>Consolidate expertise across all pillars at the regional level as an extension of the expertise-on-demand mechanism outlined in the sustainable development pillar</v>
      </c>
      <c r="E25" s="62" t="str">
        <f>'Action Tracking'!F26</f>
        <v>SG ITU; Administrator UNDP</v>
      </c>
      <c r="F25" s="62" t="str">
        <f>'Action Tracking'!I26</f>
        <v>ITU; UNDP; FAO; ICAO; ILO; UNESCO; UNIDO; WHO; WMO; ITC; UN Women; UNOPS; ECA; ECE; ESCWA; UNCTAD; DESA; EOSG (SA); ECLAC</v>
      </c>
      <c r="G25" s="62" t="str">
        <f>'Action Tracking'!J26</f>
        <v>Initiation of consultations on cross-pillar EOD extension for regional integrated platforms</v>
      </c>
      <c r="H25" s="63">
        <f>'Action Tracking'!K26</f>
        <v>46052</v>
      </c>
      <c r="I25" s="62" t="str">
        <f>'Action Tracking'!L26</f>
        <v>EOD ready to enable regional cross-pillar consolidation in integrated platforms: support framework in place</v>
      </c>
      <c r="J25" s="63">
        <f>'Action Tracking'!M26</f>
        <v>46282</v>
      </c>
      <c r="K25" s="64" t="str">
        <f>'Action Tracking'!V26</f>
        <v>Expertise-on-demand approaches operational system-wide, including expertise catalogue and protocols</v>
      </c>
      <c r="L25" s="65">
        <f>'Action Tracking'!W26</f>
        <v>46282</v>
      </c>
      <c r="M25" s="66">
        <f>'Action Tracking'!X26</f>
        <v>0</v>
      </c>
      <c r="N25" s="61" t="str">
        <f>'Action Tracking'!Z26</f>
        <v>OK</v>
      </c>
    </row>
    <row r="26" spans="1:14" ht="71" thickBot="1">
      <c r="A26" s="67">
        <f>'Action Tracking'!A27</f>
        <v>9</v>
      </c>
      <c r="B26" s="67" t="str">
        <f>'Action Tracking'!B27</f>
        <v>WP9: Human rights group</v>
      </c>
      <c r="C26" s="67">
        <f>'Action Tracking'!C27</f>
        <v>42</v>
      </c>
      <c r="D26" s="67" t="str">
        <f>'Action Tracking'!D27</f>
        <v>Establish a Human Rights Group comprising entities from across the UN system, led by the High Commissioner for Human Rights</v>
      </c>
      <c r="E26" s="68" t="str">
        <f>'Action Tracking'!F27</f>
        <v>HC OHCHR</v>
      </c>
      <c r="F26" s="68" t="str">
        <f>'Action Tracking'!I27</f>
        <v>OHCHR; DCO; DPPA; OCHA; OLA; UNAIDS; UNEP; UNDP; UNFPA; UNHCR; UNICEF; UNESCO; UN Women</v>
      </c>
      <c r="G26" s="68" t="str">
        <f>'Action Tracking'!J27</f>
        <v>Concept adopted</v>
      </c>
      <c r="H26" s="69">
        <f>'Action Tracking'!K27</f>
        <v>46052</v>
      </c>
      <c r="I26" s="68" t="str">
        <f>'Action Tracking'!L27</f>
        <v>Human Rights Group established</v>
      </c>
      <c r="J26" s="69">
        <f>'Action Tracking'!M27</f>
        <v>46111</v>
      </c>
      <c r="K26" s="70" t="str">
        <f>'Action Tracking'!V27</f>
        <v>Human Rights Group established</v>
      </c>
      <c r="L26" s="71">
        <f>'Action Tracking'!W27</f>
        <v>46111</v>
      </c>
      <c r="M26" s="72">
        <f>'Action Tracking'!X27</f>
        <v>0</v>
      </c>
      <c r="N26" s="67" t="str">
        <f>'Action Tracking'!Z27</f>
        <v>OK</v>
      </c>
    </row>
    <row r="27" spans="1:14" ht="56">
      <c r="A27" s="44">
        <f>'Action Tracking'!A28</f>
        <v>10</v>
      </c>
      <c r="B27" s="44" t="str">
        <f>'Action Tracking'!B28</f>
        <v>WP10: Senior management coordination forums</v>
      </c>
      <c r="C27" s="44">
        <f>'Action Tracking'!C28</f>
        <v>43</v>
      </c>
      <c r="D27" s="44" t="str">
        <f>'Action Tracking'!D28</f>
        <v>Review top management fora to ease the coordination burden for senior leaders and ensure coherent action across pillar, incl. CEB, IASC, UNSDG, EC</v>
      </c>
      <c r="E27" s="51" t="str">
        <f>'Action Tracking'!F28</f>
        <v>USG Policy</v>
      </c>
      <c r="F27" s="51" t="str">
        <f>'Action Tracking'!I28</f>
        <v>EOSG (USG Policy); DCO; OCHA</v>
      </c>
      <c r="G27" s="51" t="str">
        <f>'Action Tracking'!J28</f>
        <v>Coordination fora mapped and first draft baseline analytics prepared</v>
      </c>
      <c r="H27" s="52">
        <f>'Action Tracking'!K28</f>
        <v>46052</v>
      </c>
      <c r="I27" s="51" t="str">
        <f>'Action Tracking'!L28</f>
        <v>Initial actions prepared for the Secretary-General's consideration</v>
      </c>
      <c r="J27" s="52">
        <f>'Action Tracking'!M28</f>
        <v>46112</v>
      </c>
      <c r="K27" s="48" t="str">
        <f>'Action Tracking'!V28</f>
        <v>Initial proposals prepared for the Secretary-General's consideration</v>
      </c>
      <c r="L27" s="49">
        <f>'Action Tracking'!W28</f>
        <v>46112</v>
      </c>
      <c r="M27" s="50">
        <f>'Action Tracking'!X28</f>
        <v>0</v>
      </c>
      <c r="N27" s="59" t="str">
        <f>'Action Tracking'!Z28</f>
        <v>OK</v>
      </c>
    </row>
    <row r="28" spans="1:14" ht="56">
      <c r="A28" s="44">
        <f>'Action Tracking'!A29</f>
        <v>10</v>
      </c>
      <c r="B28" s="44" t="str">
        <f>'Action Tracking'!B29</f>
        <v>WP10: Senior management coordination forums</v>
      </c>
      <c r="C28" s="44">
        <f>'Action Tracking'!C29</f>
        <v>44</v>
      </c>
      <c r="D28" s="44" t="str">
        <f>'Action Tracking'!D29</f>
        <v>Consider proposals to unify administrative backend support and streamline duplicative agendas without affecting core substantive competencies</v>
      </c>
      <c r="E28" s="51" t="str">
        <f>'Action Tracking'!F29</f>
        <v>USG Policy</v>
      </c>
      <c r="F28" s="51" t="str">
        <f>'Action Tracking'!I29</f>
        <v>EOSG (USG Policy); DCO; OCHA</v>
      </c>
      <c r="G28" s="51" t="str">
        <f>'Action Tracking'!J29</f>
        <v>Coordination fora mapped and first draft baseline analytics prepared</v>
      </c>
      <c r="H28" s="52">
        <f>'Action Tracking'!K29</f>
        <v>46052</v>
      </c>
      <c r="I28" s="51" t="str">
        <f>'Action Tracking'!L29</f>
        <v>Initial actions prepared for the Secretary-General's consideration</v>
      </c>
      <c r="J28" s="52">
        <f>'Action Tracking'!M29</f>
        <v>46112</v>
      </c>
      <c r="K28" s="48" t="str">
        <f>'Action Tracking'!V29</f>
        <v>Initial proposals prepared for the Secretary-General's consideration</v>
      </c>
      <c r="L28" s="49">
        <f>'Action Tracking'!W29</f>
        <v>46112</v>
      </c>
      <c r="M28" s="50">
        <f>'Action Tracking'!X29</f>
        <v>0</v>
      </c>
      <c r="N28" s="59" t="str">
        <f>'Action Tracking'!Z29</f>
        <v>OK</v>
      </c>
    </row>
    <row r="29" spans="1:14" ht="85" thickBot="1">
      <c r="A29" s="61">
        <f>'Action Tracking'!A30</f>
        <v>10</v>
      </c>
      <c r="B29" s="61" t="str">
        <f>'Action Tracking'!B30</f>
        <v>WP10: Senior management coordination forums</v>
      </c>
      <c r="C29" s="61">
        <f>'Action Tracking'!C30</f>
        <v>46</v>
      </c>
      <c r="D29" s="61" t="str">
        <f>'Action Tracking'!D30</f>
        <v>Review existing interagency task forces and working groups and bring together all Headquarters coordination on country-specific, cross-pillar approaches to crisis prevention and centre capacities around the Regional Monthly Review platform</v>
      </c>
      <c r="E29" s="62" t="str">
        <f>'Action Tracking'!F30</f>
        <v>USG Policy</v>
      </c>
      <c r="F29" s="62" t="str">
        <f>'Action Tracking'!I30</f>
        <v>EOSG (USG Policy)</v>
      </c>
      <c r="G29" s="62" t="str">
        <f>'Action Tracking'!J30</f>
        <v>Coordination fora mapped and first draft baseline analytics prepared</v>
      </c>
      <c r="H29" s="63">
        <f>'Action Tracking'!K30</f>
        <v>46052</v>
      </c>
      <c r="I29" s="62" t="str">
        <f>'Action Tracking'!L30</f>
        <v>Interagency task forces and working groups streamlined around 			Regional Monthly Review</v>
      </c>
      <c r="J29" s="63">
        <f>'Action Tracking'!M30</f>
        <v>46280</v>
      </c>
      <c r="K29" s="64" t="str">
        <f>'Action Tracking'!V30</f>
        <v>Interagency task forces and working groups streamlined around Regional Monthly Review</v>
      </c>
      <c r="L29" s="65">
        <f>'Action Tracking'!W30</f>
        <v>46280</v>
      </c>
      <c r="M29" s="66">
        <f>'Action Tracking'!X30</f>
        <v>0</v>
      </c>
      <c r="N29" s="61" t="str">
        <f>'Action Tracking'!Z30</f>
        <v>OK</v>
      </c>
    </row>
    <row r="30" spans="1:14" ht="70">
      <c r="A30" s="44">
        <f>'Action Tracking'!A31</f>
        <v>11</v>
      </c>
      <c r="B30" s="44" t="str">
        <f>'Action Tracking'!B31</f>
        <v>WP11: Special envoy review</v>
      </c>
      <c r="C30" s="44">
        <f>'Action Tracking'!C31</f>
        <v>38</v>
      </c>
      <c r="D30" s="44" t="str">
        <f>'Action Tracking'!D31</f>
        <v>Abolish the Special Coordinator for Development in the Sahel post and its associated office (functions and responsibilities are absorbed and performed by existing entities)</v>
      </c>
      <c r="E30" s="51" t="str">
        <f>'Action Tracking'!F31</f>
        <v>USG Policy</v>
      </c>
      <c r="F30" s="51" t="str">
        <f>'Action Tracking'!I31</f>
        <v>EOSG (USG Policy); EOSG (ODSG)</v>
      </c>
      <c r="G30" s="51" t="str">
        <f>'Action Tracking'!J31</f>
        <v>N/A</v>
      </c>
      <c r="H30" s="52">
        <f>'Action Tracking'!K31</f>
        <v>45991</v>
      </c>
      <c r="I30" s="51" t="str">
        <f>'Action Tracking'!L31</f>
        <v>Special Coordinator for Development in the Sahel post and its associated office abolished</v>
      </c>
      <c r="J30" s="52">
        <f>'Action Tracking'!M31</f>
        <v>46021</v>
      </c>
      <c r="K30" s="48" t="str">
        <f>'Action Tracking'!V31</f>
        <v>No longer relevant</v>
      </c>
      <c r="L30" s="49">
        <f>'Action Tracking'!W31</f>
        <v>0</v>
      </c>
      <c r="M30" s="50" t="str">
        <f>'Action Tracking'!X31</f>
        <v>Decision taken</v>
      </c>
      <c r="N30" s="59" t="str">
        <f>'Action Tracking'!Z31</f>
        <v>OK</v>
      </c>
    </row>
    <row r="31" spans="1:14" ht="57" thickBot="1">
      <c r="A31" s="61">
        <f>'Action Tracking'!A32</f>
        <v>11</v>
      </c>
      <c r="B31" s="61" t="str">
        <f>'Action Tracking'!B32</f>
        <v>WP11: Special envoy review</v>
      </c>
      <c r="C31" s="61">
        <f>'Action Tracking'!C32</f>
        <v>45</v>
      </c>
      <c r="D31" s="61" t="str">
        <f>'Action Tracking'!D32</f>
        <v>Review and make proposals to Member States regarding SG’s some 30 special envoys, representatives, coordinators and advisers, both thematic and geographic</v>
      </c>
      <c r="E31" s="62" t="str">
        <f>'Action Tracking'!F32</f>
        <v>USG Policy</v>
      </c>
      <c r="F31" s="62" t="str">
        <f>'Action Tracking'!I32</f>
        <v>EOSG (USG Policy)</v>
      </c>
      <c r="G31" s="62" t="str">
        <f>'Action Tracking'!J32</f>
        <v>All special envoys mapped</v>
      </c>
      <c r="H31" s="63">
        <f>'Action Tracking'!K32</f>
        <v>45995</v>
      </c>
      <c r="I31" s="62" t="str">
        <f>'Action Tracking'!L32</f>
        <v>Consideration of any changes in Special Envoy roster finalized by the Secretary-General</v>
      </c>
      <c r="J31" s="63">
        <f>'Action Tracking'!M32</f>
        <v>46080</v>
      </c>
      <c r="K31" s="64" t="str">
        <f>'Action Tracking'!V32</f>
        <v>Consideration of mapping of relevant positions by the Secretary-General</v>
      </c>
      <c r="L31" s="65">
        <f>'Action Tracking'!W32</f>
        <v>46080</v>
      </c>
      <c r="M31" s="66">
        <f>'Action Tracking'!X32</f>
        <v>0</v>
      </c>
      <c r="N31" s="61" t="str">
        <f>'Action Tracking'!Z32</f>
        <v>OK</v>
      </c>
    </row>
    <row r="32" spans="1:14" ht="70">
      <c r="A32" s="44">
        <f>'Action Tracking'!A33</f>
        <v>12</v>
      </c>
      <c r="B32" s="44" t="str">
        <f>'Action Tracking'!B33</f>
        <v>WP12: Regional integrated platforms</v>
      </c>
      <c r="C32" s="44">
        <f>'Action Tracking'!C33</f>
        <v>48</v>
      </c>
      <c r="D32" s="44" t="str">
        <f>'Action Tracking'!D33</f>
        <v>Establish lean Regional Integrated Platforms to unite regional leaders across all pillars around joint plans, strategies, crisis response and resource mobilization for cross-cutting issues</v>
      </c>
      <c r="E32" s="51" t="str">
        <f>'Action Tracking'!F33</f>
        <v>ASG DCO; DSG</v>
      </c>
      <c r="F32" s="51" t="str">
        <f>'Action Tracking'!I33</f>
        <v>EOSG (ODSG); ODA; DCO; UNSDG</v>
      </c>
      <c r="G32" s="51" t="str">
        <f>'Action Tracking'!J33</f>
        <v>System-wide working group convened and draft outline on Regional Reset to be shared with the Secretary-General for guidance, reflecting cross-pillar dimensions</v>
      </c>
      <c r="H32" s="52">
        <f>'Action Tracking'!K33</f>
        <v>46029</v>
      </c>
      <c r="I32" s="51" t="str">
        <f>'Action Tracking'!L33</f>
        <v>Aspects of the regional reset – including RIPs – under Secretary-General prerogative implemented and decisions taken by Member States (Report May 2026 - TBC, depend on UN80 next reporting cycle)</v>
      </c>
      <c r="J32" s="52">
        <f>'Action Tracking'!M33</f>
        <v>46263</v>
      </c>
      <c r="K32" s="48" t="str">
        <f>'Action Tracking'!V33</f>
        <v xml:space="preserve">Proposal for the establishment of Regional Integrated Platforms developed as part of the overall proposal for a regional reset and shared with the Secretary-General for his consideration </v>
      </c>
      <c r="L32" s="49">
        <f>'Action Tracking'!W33</f>
        <v>46112</v>
      </c>
      <c r="M32" s="50">
        <f>'Action Tracking'!X33</f>
        <v>0</v>
      </c>
      <c r="N32" s="59" t="str">
        <f>'Action Tracking'!Z33</f>
        <v>OK</v>
      </c>
    </row>
    <row r="33" spans="1:14" ht="71" thickBot="1">
      <c r="A33" s="61">
        <f>'Action Tracking'!A34</f>
        <v>12</v>
      </c>
      <c r="B33" s="61" t="str">
        <f>'Action Tracking'!B34</f>
        <v>WP12: Regional integrated platforms</v>
      </c>
      <c r="C33" s="61">
        <f>'Action Tracking'!C34</f>
        <v>50</v>
      </c>
      <c r="D33" s="61" t="str">
        <f>'Action Tracking'!D34</f>
        <v xml:space="preserve">Harmonize how UN system entities organize their regional work </v>
      </c>
      <c r="E33" s="62" t="str">
        <f>'Action Tracking'!F34</f>
        <v>ASG DCO; DSG</v>
      </c>
      <c r="F33" s="62" t="str">
        <f>'Action Tracking'!I34</f>
        <v>EOSG (ODSG); ODA; DCO; UNSDG</v>
      </c>
      <c r="G33" s="62" t="str">
        <f>'Action Tracking'!J34</f>
        <v>System-wide working group convened and draft outline on Regional Reset to be shared with the Secretary-General for guidance, reflecting cross-pillar dimensions</v>
      </c>
      <c r="H33" s="63">
        <f>'Action Tracking'!K34</f>
        <v>46029</v>
      </c>
      <c r="I33" s="62" t="str">
        <f>'Action Tracking'!L34</f>
        <v>Aspects of the regional reset – including RIPs – under Secretary-General prerogative implemented and decisions taken by Member States (Report May 2026 - TBC, depend on UN80 next reporting cycle)</v>
      </c>
      <c r="J33" s="63">
        <f>'Action Tracking'!M34</f>
        <v>46263</v>
      </c>
      <c r="K33" s="64" t="str">
        <f>'Action Tracking'!V34</f>
        <v xml:space="preserve">Proposal for harmonization of UN system organizational arrangements developed as part of the overall proposal for regional reset and shared with the Secretary-General for his consideration </v>
      </c>
      <c r="L33" s="65">
        <f>'Action Tracking'!W34</f>
        <v>46112</v>
      </c>
      <c r="M33" s="66">
        <f>'Action Tracking'!X34</f>
        <v>0</v>
      </c>
      <c r="N33" s="74" t="str">
        <f>'Action Tracking'!Z34</f>
        <v>OK</v>
      </c>
    </row>
    <row r="34" spans="1:14" ht="182">
      <c r="A34" s="44">
        <f>'Action Tracking'!A35</f>
        <v>13</v>
      </c>
      <c r="B34" s="44" t="str">
        <f>'Action Tracking'!B35</f>
        <v>WP13: Shared platform initiative</v>
      </c>
      <c r="C34" s="44">
        <f>'Action Tracking'!C35</f>
        <v>19</v>
      </c>
      <c r="D34" s="44" t="str">
        <f>'Action Tracking'!D35</f>
        <v>Initiate a practical Shared Platform Initiative between DSG and ERC</v>
      </c>
      <c r="E34" s="51" t="str">
        <f>'Action Tracking'!F35</f>
        <v>USG OCHA; DSG</v>
      </c>
      <c r="F34" s="51" t="str">
        <f>'Action Tracking'!I35</f>
        <v>EOSG (ODSG); OCHA; DCO</v>
      </c>
      <c r="G34" s="51" t="str">
        <f>'Action Tracking'!J35</f>
        <v>Action plan for the Shared Platform Initiative on four specific priorities areas the SPI under the DSG and ERC leadership mention: co‑location of RCOs and OCHA offices, establishing joined-up performance management and accountability frameworks for multi‑hatted RC/HCs, and advancing joint strategies for transitions and advocacy in crisis‑affected settings with specific timelines for immediate implementation and progress report to the Secretary-General summarizing next steps finalized</v>
      </c>
      <c r="H34" s="52">
        <f>'Action Tracking'!K35</f>
        <v>46052</v>
      </c>
      <c r="I34" s="51" t="str">
        <f>'Action Tracking'!L35</f>
        <v>All initiatives rolled out and implementation finalized, as country 			contexts required</v>
      </c>
      <c r="J34" s="52">
        <f>'Action Tracking'!M35</f>
        <v>46233</v>
      </c>
      <c r="K34" s="48" t="str">
        <f>'Action Tracking'!V35</f>
        <v>First progress report submitted to the Secretary-General covering the four areas: co-location of the offices, common performance management, clear accountabilty towards RC/HCs and joint strategies for transitions and advocacy, and the Action Plan drafted for Secretary-General’s guidance</v>
      </c>
      <c r="L34" s="49">
        <f>'Action Tracking'!W35</f>
        <v>46081</v>
      </c>
      <c r="M34" s="50">
        <f>'Action Tracking'!X35</f>
        <v>0</v>
      </c>
      <c r="N34" s="59" t="str">
        <f>'Action Tracking'!Z35</f>
        <v>OK</v>
      </c>
    </row>
    <row r="35" spans="1:14" ht="85" thickBot="1">
      <c r="A35" s="61">
        <f>'Action Tracking'!A36</f>
        <v>13</v>
      </c>
      <c r="B35" s="61" t="str">
        <f>'Action Tracking'!B36</f>
        <v>WP13: Shared platform initiative</v>
      </c>
      <c r="C35" s="61">
        <f>'Action Tracking'!C36</f>
        <v>57</v>
      </c>
      <c r="D35" s="61" t="str">
        <f>'Action Tracking'!D36</f>
        <v>Prepare a proposal to ensure that RC/HCs and planning teams simplify Development Cooperation Frameworks, Humanitarian Response Plans, Peacebuilding Strategies and associated needs analyses for relevant settings</v>
      </c>
      <c r="E35" s="62" t="str">
        <f>'Action Tracking'!F36</f>
        <v>USG OCHA; DSG</v>
      </c>
      <c r="F35" s="62" t="str">
        <f>'Action Tracking'!I36</f>
        <v>EOSG (ODSG); OCHA; DPPA; DCO</v>
      </c>
      <c r="G35" s="62" t="str">
        <f>'Action Tracking'!J36</f>
        <v>Draft of the proposal for simplifying country-level planning process where necessary finalized (ensuring complementarity between the planning frameworks); conducted with PBSO</v>
      </c>
      <c r="H35" s="63">
        <f>'Action Tracking'!K36</f>
        <v>46052</v>
      </c>
      <c r="I35" s="62" t="str">
        <f>'Action Tracking'!L36</f>
        <v>Simplified planning process and associated needs analysis system-wide rolled out</v>
      </c>
      <c r="J35" s="63">
        <f>'Action Tracking'!M36</f>
        <v>46233</v>
      </c>
      <c r="K35" s="64" t="str">
        <f>'Action Tracking'!V36</f>
        <v>Draft proposal for simplifying country-level planning processes submitted for Secretary-General's consideration</v>
      </c>
      <c r="L35" s="65">
        <f>'Action Tracking'!W36</f>
        <v>46081</v>
      </c>
      <c r="M35" s="66">
        <f>'Action Tracking'!X36</f>
        <v>0</v>
      </c>
      <c r="N35" s="74" t="str">
        <f>'Action Tracking'!Z36</f>
        <v>OK</v>
      </c>
    </row>
    <row r="36" spans="1:14" ht="70">
      <c r="A36" s="44">
        <f>'Action Tracking'!A37</f>
        <v>14</v>
      </c>
      <c r="B36" s="44" t="str">
        <f>'Action Tracking'!B37</f>
        <v>WP14: Unified services roadmap</v>
      </c>
      <c r="C36" s="44">
        <f>'Action Tracking'!C37</f>
        <v>63</v>
      </c>
      <c r="D36" s="44" t="str">
        <f>'Action Tracking'!D37</f>
        <v>Prepare a Unified Services Roadmap, based on existing reform commitments and two models: some services will be provided by consolidated entities, and others through marketplaces of providers.</v>
      </c>
      <c r="E36" s="51" t="str">
        <f>'Action Tracking'!F37</f>
        <v>Chair HLCM; ED WFP; Co-Chairs BIG</v>
      </c>
      <c r="F36" s="51" t="str">
        <f>'Action Tracking'!I37</f>
        <v>HLCM; BIG; WFP; UNHCR; DCO</v>
      </c>
      <c r="G36" s="51" t="str">
        <f>'Action Tracking'!J37</f>
        <v>Integration of HLCM’s Far-Reaching Efficiency Initiatives (FREIs) and BIG’s Global Shared Services (GSS) agenda into one single unified service roadmap outline</v>
      </c>
      <c r="H36" s="52">
        <f>'Action Tracking'!K37</f>
        <v>46052</v>
      </c>
      <c r="I36" s="51" t="str">
        <f>'Action Tracking'!L37</f>
        <v>Release of the outcome report on the Unified Services Roadmap, outlining progress, results and suggested next steps. (Progress report ready by 15 September 2026)</v>
      </c>
      <c r="J36" s="52">
        <f>'Action Tracking'!M37</f>
        <v>46325</v>
      </c>
      <c r="K36" s="48" t="str">
        <f>'Action Tracking'!V37</f>
        <v>Single Unified Service Roadmap outline submitted for Secretary-General's consideration</v>
      </c>
      <c r="L36" s="49">
        <f>'Action Tracking'!W37</f>
        <v>46052</v>
      </c>
      <c r="M36" s="50">
        <f>'Action Tracking'!X37</f>
        <v>0</v>
      </c>
      <c r="N36" s="44" t="str">
        <f>'Action Tracking'!Z37</f>
        <v>OK</v>
      </c>
    </row>
    <row r="37" spans="1:14" ht="126">
      <c r="A37" s="44">
        <f>'Action Tracking'!A38</f>
        <v>14</v>
      </c>
      <c r="B37" s="44" t="str">
        <f>'Action Tracking'!B38</f>
        <v>WP14: Unified services roadmap</v>
      </c>
      <c r="C37" s="44">
        <f>'Action Tracking'!C38</f>
        <v>64</v>
      </c>
      <c r="D37" s="44" t="str">
        <f>'Action Tracking'!D38</f>
        <v xml:space="preserve">Integrate supply chains, taking the New Humanitarian Compact as the concrete starting point.
</v>
      </c>
      <c r="E37" s="51" t="str">
        <f>'Action Tracking'!F38</f>
        <v>Chair HLCM; ED WFP; Co-Chairs BIG</v>
      </c>
      <c r="F37" s="51" t="str">
        <f>'Action Tracking'!I38</f>
        <v>DOS; WFP; UNICEF</v>
      </c>
      <c r="G37" s="51" t="str">
        <f>'Action Tracking'!J38</f>
        <v>Proposal for harmonized in-country logistics, with initial application in Afghanistan, Haiti, Gaza (OPT), Somalia and Sudan finalized.</v>
      </c>
      <c r="H37" s="52">
        <f>'Action Tracking'!K38</f>
        <v>46112</v>
      </c>
      <c r="I37" s="51" t="str">
        <f>'Action Tracking'!L38</f>
        <v>Coordinated procurement of identified key items, pooled global logistics, and shared in-country logistics services are operational across the UN system, enabled by a coordination mechanism and guided by clear standard operating procedures and frameworks support the delivery of faster, more cost-effective, and more reliable assistance to people in need.</v>
      </c>
      <c r="J37" s="52">
        <f>'Action Tracking'!M38</f>
        <v>46387</v>
      </c>
      <c r="K37" s="48" t="str">
        <f>'Action Tracking'!V38</f>
        <v>Proposal for integrated supply chain in starter countries submitted for Secretary-General's consideration</v>
      </c>
      <c r="L37" s="49">
        <f>'Action Tracking'!W38</f>
        <v>46112</v>
      </c>
      <c r="M37" s="50">
        <f>'Action Tracking'!X38</f>
        <v>0</v>
      </c>
      <c r="N37" s="44" t="str">
        <f>'Action Tracking'!Z38</f>
        <v>OK</v>
      </c>
    </row>
    <row r="38" spans="1:14" ht="70">
      <c r="A38" s="44">
        <f>'Action Tracking'!A39</f>
        <v>14</v>
      </c>
      <c r="B38" s="44" t="str">
        <f>'Action Tracking'!B39</f>
        <v>WP14: Unified services roadmap</v>
      </c>
      <c r="C38" s="44">
        <f>'Action Tracking'!C39</f>
        <v>65</v>
      </c>
      <c r="D38" s="44" t="str">
        <f>'Action Tracking'!D39</f>
        <v>Conduct assessment for integration of basic information and communication technology services, as well as payroll, human resources, finance, and enterprise resource planning (ERP) systems</v>
      </c>
      <c r="E38" s="51" t="str">
        <f>'Action Tracking'!F39</f>
        <v>Chair HLCM; ED WFP; Co-Chairs BIG</v>
      </c>
      <c r="F38" s="51" t="str">
        <f>'Action Tracking'!I39</f>
        <v>HLCM; BIG; WFP; UNHCR; DCO</v>
      </c>
      <c r="G38" s="51" t="str">
        <f>'Action Tracking'!J39</f>
        <v xml:space="preserve">Release of the assessment framework that will be used to guide decision making on items outlined in Action 63
</v>
      </c>
      <c r="H38" s="52">
        <f>'Action Tracking'!K39</f>
        <v>46053</v>
      </c>
      <c r="I38" s="51" t="str">
        <f>'Action Tracking'!L39</f>
        <v>Final release of the outcomes of the assessment (cost, risk, complexity, ...)</v>
      </c>
      <c r="J38" s="52">
        <f>'Action Tracking'!M39</f>
        <v>46279</v>
      </c>
      <c r="K38" s="48" t="str">
        <f>'Action Tracking'!V39</f>
        <v>Assessment framework for unified services finalized for Secretary-General's consideration</v>
      </c>
      <c r="L38" s="49">
        <f>'Action Tracking'!W39</f>
        <v>46053</v>
      </c>
      <c r="M38" s="50">
        <f>'Action Tracking'!X39</f>
        <v>0</v>
      </c>
      <c r="N38" s="44" t="str">
        <f>'Action Tracking'!Z39</f>
        <v>OK</v>
      </c>
    </row>
    <row r="39" spans="1:14" ht="182">
      <c r="A39" s="44">
        <f>'Action Tracking'!A40</f>
        <v>14</v>
      </c>
      <c r="B39" s="44" t="str">
        <f>'Action Tracking'!B40</f>
        <v>WP14: Unified services roadmap</v>
      </c>
      <c r="C39" s="44">
        <f>'Action Tracking'!C40</f>
        <v>66</v>
      </c>
      <c r="D39" s="44" t="str">
        <f>'Action Tracking'!D40</f>
        <v>Accelerate the move toward a unified service backbone at country level; eliminate costly duplication on the ground</v>
      </c>
      <c r="E39" s="51" t="str">
        <f>'Action Tracking'!F40</f>
        <v>Chair HLCM; ED WFP; Co-Chairs BIG</v>
      </c>
      <c r="F39" s="51" t="str">
        <f>'Action Tracking'!I40</f>
        <v>BIG; DCO</v>
      </c>
      <c r="G39" s="51" t="str">
        <f>'Action Tracking'!J40</f>
        <v xml:space="preserve">Commence the Self Starter Common Back Office/ locally shared service trainings towards accelerated unified common service backbone in countries;;
Launch survey to identify high impact target countries for supported roll out;
Launch an Interagency task force on operationalizing Mutual Recognition to accelerate take up of this foundational enabler  </v>
      </c>
      <c r="H39" s="52">
        <f>'Action Tracking'!K40</f>
        <v>46053</v>
      </c>
      <c r="I39" s="51" t="str">
        <f>'Action Tracking'!L40</f>
        <v>Release integrated suite of services for common back office, which include knowledge management products and work towards achieving consistent comparative result reporting; 
Expand the reach of service offerings from BIG to the whole network at country level; 
Release the report of lessons learned on new Self-starter Common back office launches and the report of post-launching common shared service structure governance; 
Four new CBO's (minimum) to be launched in 2026</v>
      </c>
      <c r="J39" s="52">
        <f>'Action Tracking'!M40</f>
        <v>46340</v>
      </c>
      <c r="K39" s="48" t="str">
        <f>'Action Tracking'!V40</f>
        <v>High-impact contexts for next phase of common country back offices identified for Secretary-General's consideration</v>
      </c>
      <c r="L39" s="49">
        <f>'Action Tracking'!W40</f>
        <v>46053</v>
      </c>
      <c r="M39" s="50">
        <f>'Action Tracking'!X40</f>
        <v>0</v>
      </c>
      <c r="N39" s="44" t="str">
        <f>'Action Tracking'!Z40</f>
        <v>OK</v>
      </c>
    </row>
    <row r="40" spans="1:14" ht="155" thickBot="1">
      <c r="A40" s="61">
        <f>'Action Tracking'!A41</f>
        <v>14</v>
      </c>
      <c r="B40" s="61" t="str">
        <f>'Action Tracking'!B41</f>
        <v>WP14: Unified services roadmap</v>
      </c>
      <c r="C40" s="61">
        <f>'Action Tracking'!C41</f>
        <v>67</v>
      </c>
      <c r="D40" s="61" t="str">
        <f>'Action Tracking'!D41</f>
        <v>Harmonize most indirect and programme support costs</v>
      </c>
      <c r="E40" s="62" t="str">
        <f>'Action Tracking'!F41</f>
        <v>Chair HLCM; ED WFP; Co-Chairs BIG</v>
      </c>
      <c r="F40" s="62" t="str">
        <f>'Action Tracking'!I41</f>
        <v>BIG; DCO</v>
      </c>
      <c r="G40" s="62" t="str">
        <f>'Action Tracking'!J41</f>
        <v>Release of the CBO Tracking Tool and CBO Self Starter Reporting methodology for new CBOs;  
Begin work on improving transparency in expenditure and support cost across all funding streams at country level by expanding the CBO framework to introduce reporting requirements on support costs and programme expense</v>
      </c>
      <c r="H40" s="63">
        <f>'Action Tracking'!K41</f>
        <v>46053</v>
      </c>
      <c r="I40" s="62" t="str">
        <f>'Action Tracking'!L41</f>
        <v>1. Identify potential service offerings funded by programme budget that can utilize and build on efficiency measures developed for administrative expenditure; 2. Four launched CBOs, release the preliminary efficiency gains per scaled common services in new CBO, including common ERPs, common payroll, with UNSDCF-SDG linkages where relevant. The gain calculation to be consistent with the accepted HLCM/ FBN definition of efficiency</v>
      </c>
      <c r="J40" s="63">
        <f>'Action Tracking'!M41</f>
        <v>46340</v>
      </c>
      <c r="K40" s="64" t="str">
        <f>'Action Tracking'!V41</f>
        <v>Forthcoming</v>
      </c>
      <c r="L40" s="65">
        <f>'Action Tracking'!W41</f>
        <v>0</v>
      </c>
      <c r="M40" s="66">
        <f>'Action Tracking'!X41</f>
        <v>0</v>
      </c>
      <c r="N40" s="74" t="str">
        <f>'Action Tracking'!Z41</f>
        <v>OK</v>
      </c>
    </row>
    <row r="41" spans="1:14" ht="126">
      <c r="A41" s="44">
        <f>'Action Tracking'!A42</f>
        <v>15</v>
      </c>
      <c r="B41" s="44" t="str">
        <f>'Action Tracking'!B42</f>
        <v>WP15: Technology</v>
      </c>
      <c r="C41" s="44">
        <f>'Action Tracking'!C42</f>
        <v>61</v>
      </c>
      <c r="D41" s="44" t="str">
        <f>'Action Tracking'!D42</f>
        <v>Prepare a proposal to consolidate the fragmented landscape of basic cloud services, network infrastructures, office software and systems under realigned common providers that can serve the entire UN system, building on lessons from the International Computing Centre</v>
      </c>
      <c r="E41" s="51" t="str">
        <f>'Action Tracking'!F42</f>
        <v>SG ITU; USG Policy; Co-Chairs DTN</v>
      </c>
      <c r="F41" s="51" t="str">
        <f>'Action Tracking'!I42</f>
        <v>EOSG (USG Policy); ITU; HLCM; UNHCR; UNDP; WIPO; EOSG (SA); WHO; IOM</v>
      </c>
      <c r="G41" s="51" t="str">
        <f>'Action Tracking'!J42</f>
        <v>Systemwide ICT baseline info completed: comprehensive mapping of existing ICT capacities, including contracts (spending, suppliers), people/capacities (staffing, shared-service providers), and ongoing consolidation initiatives in HLCM, BIG, IASC, etc.</v>
      </c>
      <c r="H41" s="52">
        <f>'Action Tracking'!K42</f>
        <v>46068</v>
      </c>
      <c r="I41" s="51" t="str">
        <f>'Action Tracking'!L42</f>
        <v>ICT consolidation proposal endorsed by CEB: actions for unified ICT capacities as part of Unified Services Roadmap, including operational shared service delivery leveraging on ICC realignment/reform and other existing ICT shared services model such as UNDP/UN Secretariat ERP as a service, indicating estimated required investments and expected efficiency gains</v>
      </c>
      <c r="J41" s="52">
        <f>'Action Tracking'!M42</f>
        <v>46156</v>
      </c>
      <c r="K41" s="48" t="str">
        <f>'Action Tracking'!V42</f>
        <v>Proposal for ICT consolidation options presented to UN System Chief Executives Board for Coordination</v>
      </c>
      <c r="L41" s="49">
        <f>'Action Tracking'!W42</f>
        <v>46156</v>
      </c>
      <c r="M41" s="50">
        <f>'Action Tracking'!X42</f>
        <v>0</v>
      </c>
      <c r="N41" s="44" t="str">
        <f>'Action Tracking'!Z42</f>
        <v>OK</v>
      </c>
    </row>
    <row r="42" spans="1:14" ht="169" thickBot="1">
      <c r="A42" s="61">
        <f>'Action Tracking'!A43</f>
        <v>15</v>
      </c>
      <c r="B42" s="61" t="str">
        <f>'Action Tracking'!B43</f>
        <v>WP15: Technology</v>
      </c>
      <c r="C42" s="61">
        <f>'Action Tracking'!C43</f>
        <v>62</v>
      </c>
      <c r="D42" s="61" t="str">
        <f>'Action Tracking'!D43</f>
        <v xml:space="preserve">Develop a proposal for a Technology Accelerator Platform (TAP) for the Chief Executives Board for a lean joint programme accountable to the SG, led by group of entities with advanced capabilities, to help modernize business practices, scale up expertise, offer surge capacity and jointly build systemically important technology solutions, with a parallel kick-off of at least six joint use cases showcasing demonstratable impact in 2026. </v>
      </c>
      <c r="E42" s="62" t="str">
        <f>'Action Tracking'!F43</f>
        <v>SG ITU; USG Policy; Co-Chairs DTN</v>
      </c>
      <c r="F42" s="62" t="str">
        <f>'Action Tracking'!I43</f>
        <v>EOSG (USG Policy); ITU; HLCM; UNHCR; UNDP; WIPO; EOSG (SA); WHO; IOM</v>
      </c>
      <c r="G42" s="62" t="str">
        <f>'Action Tracking'!J43</f>
        <v>Portfolio of 3 high-impact technology acceleration use cases proposed to the UN80 Steering Committee, drawn from UN 2.0 and UN80 reports (e.g. mandate registry / tools, beneficiary ID (Quint), data commons site 1.0), plus a short survey to capture demand signals and early contributors for at least 3 additional use cases for Steering Committee endorsement by mid-2026</v>
      </c>
      <c r="H42" s="63">
        <f>'Action Tracking'!K43</f>
        <v>46061</v>
      </c>
      <c r="I42" s="62" t="str">
        <f>'Action Tracking'!L43</f>
        <v>At least three priority accelerator use cases in deployment systemwide, with clear KPI improvements (e.g., documented efficiency gains and user satisfaction improvements)</v>
      </c>
      <c r="J42" s="63">
        <f>'Action Tracking'!M43</f>
        <v>46279</v>
      </c>
      <c r="K42" s="64" t="str">
        <f>'Action Tracking'!V43</f>
        <v>Portfolio of 3 high-impact technology acceleration use cases presented to UN80 Steering Committee</v>
      </c>
      <c r="L42" s="65">
        <f>'Action Tracking'!W43</f>
        <v>46061</v>
      </c>
      <c r="M42" s="66">
        <f>'Action Tracking'!X43</f>
        <v>0</v>
      </c>
      <c r="N42" s="61" t="str">
        <f>'Action Tracking'!Z43</f>
        <v>OK</v>
      </c>
    </row>
    <row r="43" spans="1:14" ht="84">
      <c r="A43" s="44">
        <f>'Action Tracking'!A44</f>
        <v>16</v>
      </c>
      <c r="B43" s="44" t="str">
        <f>'Action Tracking'!B44</f>
        <v>WP16: Data</v>
      </c>
      <c r="C43" s="44">
        <f>'Action Tracking'!C44</f>
        <v>73</v>
      </c>
      <c r="D43" s="44" t="str">
        <f>'Action Tracking'!D44</f>
        <v>Unify public UN system statistics in a single, high performing platform with interoperable datasets, modern discovery and reuse, APIs and structured access, AI ready architecture, and a scalable analytics backbone.</v>
      </c>
      <c r="E43" s="51" t="str">
        <f>'Action Tracking'!F44</f>
        <v>USG Policy; USG DESA; ED UNICEF</v>
      </c>
      <c r="F43" s="51" t="str">
        <f>'Action Tracking'!I44</f>
        <v>EOSG (USG Policy); DESA; UNICEF; ILO; ECLAC; ECA; UNIDO</v>
      </c>
      <c r="G43" s="51" t="str">
        <f>'Action Tracking'!J44</f>
        <v>Ambition and delivery setup agreed, incl. technological platform recommendation, system-wide leadership commitment for ingestion of existing public UN system data and statistics</v>
      </c>
      <c r="H43" s="52">
        <f>'Action Tracking'!K44</f>
        <v>46080</v>
      </c>
      <c r="I43" s="51" t="str">
        <f>'Action Tracking'!L44</f>
        <v>Refined platform live, providing a single public UN System Data Commons website for data and statistics ingested from 20+ UN system entities (10+ by end of July, another 10+ by mid-September), including recommendations for further scaling</v>
      </c>
      <c r="J43" s="52">
        <f>'Action Tracking'!M44</f>
        <v>46279</v>
      </c>
      <c r="K43" s="48" t="str">
        <f>'Action Tracking'!V44</f>
        <v>UN System Data Commons site live with public data and statistics from at least 20+ entities</v>
      </c>
      <c r="L43" s="49">
        <f>'Action Tracking'!W44</f>
        <v>46279</v>
      </c>
      <c r="M43" s="50">
        <f>'Action Tracking'!X44</f>
        <v>0</v>
      </c>
      <c r="N43" s="44" t="str">
        <f>'Action Tracking'!Z44</f>
        <v>OK</v>
      </c>
    </row>
    <row r="44" spans="1:14" ht="98">
      <c r="A44" s="44">
        <f>'Action Tracking'!A45</f>
        <v>16</v>
      </c>
      <c r="B44" s="44" t="str">
        <f>'Action Tracking'!B45</f>
        <v>WP16: Data</v>
      </c>
      <c r="C44" s="44">
        <f>'Action Tracking'!C45</f>
        <v>74</v>
      </c>
      <c r="D44" s="44" t="str">
        <f>'Action Tracking'!D45</f>
        <v>Establish a jointly financed, jointly governed programme and core team to run the Commons, secure system wide leadership commitments, and set a sustainable, pooled funding model with clear governance and capacity to deliver at pace and quality.</v>
      </c>
      <c r="E44" s="51" t="str">
        <f>'Action Tracking'!F45</f>
        <v>USG Policy; USG DESA; ED UNICEF</v>
      </c>
      <c r="F44" s="51" t="str">
        <f>'Action Tracking'!I45</f>
        <v>EOSG (USG Policy); DESA; UNICEF; ILO; ECLAC; ECA; UNIDO</v>
      </c>
      <c r="G44" s="51" t="str">
        <f>'Action Tracking'!J45</f>
        <v>As part of ambition and delivery setup, system-wide leadership commitment secured for a joint programme in support of the UN System Data Commons, incl. potential resource contributions</v>
      </c>
      <c r="H44" s="52">
        <f>'Action Tracking'!K45</f>
        <v>46080</v>
      </c>
      <c r="I44" s="51" t="str">
        <f>'Action Tracking'!L45</f>
        <v>Joint programme for UN System Data Commons fully set up, incl. initial resource contributions, and recommendations drafted for 2027 scaling</v>
      </c>
      <c r="J44" s="52">
        <f>'Action Tracking'!M45</f>
        <v>45914</v>
      </c>
      <c r="K44" s="48" t="str">
        <f>'Action Tracking'!V45</f>
        <v>Commitments made by system-wide leadership for a sustainable joint approach supporting the UN System Data Commons</v>
      </c>
      <c r="L44" s="49">
        <f>'Action Tracking'!W45</f>
        <v>46080</v>
      </c>
      <c r="M44" s="50">
        <f>'Action Tracking'!X45</f>
        <v>0</v>
      </c>
      <c r="N44" s="44" t="str">
        <f>'Action Tracking'!Z45</f>
        <v>OK</v>
      </c>
    </row>
    <row r="45" spans="1:14" ht="57" thickBot="1">
      <c r="A45" s="61">
        <f>'Action Tracking'!A46</f>
        <v>16</v>
      </c>
      <c r="B45" s="61" t="str">
        <f>'Action Tracking'!B46</f>
        <v>WP16: Data</v>
      </c>
      <c r="C45" s="61">
        <f>'Action Tracking'!C46</f>
        <v>75</v>
      </c>
      <c r="D45" s="61" t="str">
        <f>'Action Tracking'!D46</f>
        <v>Pool the know-how of data analysts, engineers, and scientists to support the UN system, the new hubs, humanitarian clusters, and country teams alike</v>
      </c>
      <c r="E45" s="62" t="str">
        <f>'Action Tracking'!F46</f>
        <v>USG Policy; USG DESA; ED UNICEF</v>
      </c>
      <c r="F45" s="62" t="str">
        <f>'Action Tracking'!I46</f>
        <v>EOSG (USG Policy); DESA; UNICEF; ILO; ECLAC; ECA; UNIDO</v>
      </c>
      <c r="G45" s="62" t="str">
        <f>'Action Tracking'!J46</f>
        <v>As part of ambition and delivery setup, initial resource and personnel contributions from UN system entities secured</v>
      </c>
      <c r="H45" s="63">
        <f>'Action Tracking'!K46</f>
        <v>46080</v>
      </c>
      <c r="I45" s="62" t="str">
        <f>'Action Tracking'!L46</f>
        <v>Long-term team in support of UN System Data Commons assembled, and recommendations for 2027 scaling available</v>
      </c>
      <c r="J45" s="63">
        <f>'Action Tracking'!M46</f>
        <v>46279</v>
      </c>
      <c r="K45" s="64" t="str">
        <f>'Action Tracking'!V46</f>
        <v>Initial data and statistics capacity contributions identified</v>
      </c>
      <c r="L45" s="65">
        <f>'Action Tracking'!W46</f>
        <v>46080</v>
      </c>
      <c r="M45" s="66">
        <f>'Action Tracking'!X46</f>
        <v>0</v>
      </c>
      <c r="N45" s="61" t="str">
        <f>'Action Tracking'!Z46</f>
        <v>OK</v>
      </c>
    </row>
    <row r="46" spans="1:14" ht="84">
      <c r="A46" s="44">
        <f>'Action Tracking'!A47</f>
        <v>17</v>
      </c>
      <c r="B46" s="44" t="str">
        <f>'Action Tracking'!B47</f>
        <v>WP17: Training and research</v>
      </c>
      <c r="C46" s="44">
        <f>'Action Tracking'!C47</f>
        <v>68</v>
      </c>
      <c r="D46" s="44" t="str">
        <f>'Action Tracking'!D47</f>
        <v>Merge UN System Staff College (UNSSC) into the UN Institute for Training and Research (UNITAR)</v>
      </c>
      <c r="E46" s="51" t="str">
        <f>'Action Tracking'!F47</f>
        <v>ED UNITAR; Rector UNU</v>
      </c>
      <c r="F46" s="51" t="str">
        <f>'Action Tracking'!I47</f>
        <v>UNITAR; UNU; UNSSC; UN Women; ITU; ILO; DCO; DOS</v>
      </c>
      <c r="G46" s="51" t="str">
        <f>'Action Tracking'!J47</f>
        <v>Merger roadmap agreed by UNITAR and UNSSC, incl.  needs assessment, scope, methodology, and joint plan for functional/financial mapping; consultations launched</v>
      </c>
      <c r="H46" s="52">
        <f>'Action Tracking'!K47</f>
        <v>46052</v>
      </c>
      <c r="I46" s="51" t="str">
        <f>'Action Tracking'!L47</f>
        <v>UNITAR and UNSSC Boards  endorse merger proposal for submission via SG to the GA</v>
      </c>
      <c r="J46" s="52">
        <f>'Action Tracking'!M47</f>
        <v>46202</v>
      </c>
      <c r="K46" s="48" t="str">
        <f>'Action Tracking'!V47</f>
        <v>Executive heads of UNITAR and UNSSC, together with Action 68 Team agree overall roadmap, stakeholder engagement strategy and key milestones. UNITAR and UNSSC agree detailed workplan for merger of the two institutions incl. needs assessment, scope, methodology and analytical questions</v>
      </c>
      <c r="L46" s="49">
        <f>'Action Tracking'!W47</f>
        <v>46053</v>
      </c>
      <c r="M46" s="50">
        <f>'Action Tracking'!X47</f>
        <v>0</v>
      </c>
      <c r="N46" s="44" t="str">
        <f>'Action Tracking'!Z47</f>
        <v>OK</v>
      </c>
    </row>
    <row r="47" spans="1:14" ht="56">
      <c r="A47" s="44">
        <f>'Action Tracking'!A48</f>
        <v>17</v>
      </c>
      <c r="B47" s="44" t="str">
        <f>'Action Tracking'!B48</f>
        <v>WP17: Training and research</v>
      </c>
      <c r="C47" s="44">
        <f>'Action Tracking'!C48</f>
        <v>69</v>
      </c>
      <c r="D47" s="44" t="str">
        <f>'Action Tracking'!D48</f>
        <v>Integrate UN Research Institute for Social Development (UNRISD) into the United Nations University (UNU)</v>
      </c>
      <c r="E47" s="51" t="str">
        <f>'Action Tracking'!F48</f>
        <v>ED UNITAR; Rector UNU</v>
      </c>
      <c r="F47" s="51" t="str">
        <f>'Action Tracking'!I48</f>
        <v>UNU; UNITAR</v>
      </c>
      <c r="G47" s="51" t="str">
        <f>'Action Tracking'!J48</f>
        <v>UNU Council would have reviewed and endorsed the UN80 report’s recommendations to integrate UNRISD into UNU</v>
      </c>
      <c r="H47" s="52">
        <f>'Action Tracking'!K48</f>
        <v>45995</v>
      </c>
      <c r="I47" s="51" t="str">
        <f>'Action Tracking'!L48</f>
        <v>UNU Council endorsed implementation plan and agreed to submit it to the Secretary-General in August 2026</v>
      </c>
      <c r="J47" s="52">
        <f>'Action Tracking'!M48</f>
        <v>46264</v>
      </c>
      <c r="K47" s="48" t="str">
        <f>'Action Tracking'!V48</f>
        <v>UNU reviews UNRISD's administrative framework (financial, communications, HR, legal), to gather information regarding integration</v>
      </c>
      <c r="L47" s="49">
        <f>'Action Tracking'!W48</f>
        <v>46112</v>
      </c>
      <c r="M47" s="50">
        <f>'Action Tracking'!X48</f>
        <v>0</v>
      </c>
      <c r="N47" s="44" t="str">
        <f>'Action Tracking'!Z48</f>
        <v>OK</v>
      </c>
    </row>
    <row r="48" spans="1:14" ht="43" thickBot="1">
      <c r="A48" s="61">
        <f>'Action Tracking'!A49</f>
        <v>17</v>
      </c>
      <c r="B48" s="61" t="str">
        <f>'Action Tracking'!B49</f>
        <v>WP17: Training and research</v>
      </c>
      <c r="C48" s="61">
        <f>'Action Tracking'!C49</f>
        <v>72</v>
      </c>
      <c r="D48" s="61" t="str">
        <f>'Action Tracking'!D49</f>
        <v>Establish a Joint UN System Coordination Mechanism co-led by the UNU Rector and UNITAR Executive Director.</v>
      </c>
      <c r="E48" s="62" t="str">
        <f>'Action Tracking'!F49</f>
        <v>ED UNITAR; Rector UNU</v>
      </c>
      <c r="F48" s="62" t="str">
        <f>'Action Tracking'!I49</f>
        <v>UNU; UNITAR</v>
      </c>
      <c r="G48" s="62" t="str">
        <f>'Action Tracking'!J49</f>
        <v>Plan in place setting out scope and key considerations of the knowledge mapping exercise and entities to be engaged</v>
      </c>
      <c r="H48" s="63">
        <f>'Action Tracking'!K49</f>
        <v>46052</v>
      </c>
      <c r="I48" s="62" t="str">
        <f>'Action Tracking'!L49</f>
        <v>Blueprint for Joint UN Coordination Mechanism at CEB in May 2026</v>
      </c>
      <c r="J48" s="63">
        <f>'Action Tracking'!M49</f>
        <v>46141</v>
      </c>
      <c r="K48" s="64" t="str">
        <f>'Action Tracking'!V49</f>
        <v>Plan in place setting out the scope and key considerations of the system-wide knowledge mapping exercise, including entities to be engaged</v>
      </c>
      <c r="L48" s="65">
        <f>'Action Tracking'!W49</f>
        <v>46053</v>
      </c>
      <c r="M48" s="66">
        <f>'Action Tracking'!X49</f>
        <v>0</v>
      </c>
      <c r="N48" s="61" t="str">
        <f>'Action Tracking'!Z49</f>
        <v>OK</v>
      </c>
    </row>
    <row r="49" spans="1:14" ht="98">
      <c r="A49" s="44">
        <f>'Action Tracking'!A50</f>
        <v>18</v>
      </c>
      <c r="B49" s="44" t="str">
        <f>'Action Tracking'!B50</f>
        <v>WP18: Funding mechanisms</v>
      </c>
      <c r="C49" s="44">
        <f>'Action Tracking'!C50</f>
        <v>76</v>
      </c>
      <c r="D49" s="44" t="str">
        <f>'Action Tracking'!D50</f>
        <v>Launch a pooled funding review, including a review of administrative agent, secretariat, governance and support cost models, as well as partnership arrangements, to ensure pooled funding is consistently cheaper and more attractive than fragmented approaches</v>
      </c>
      <c r="E49" s="51" t="str">
        <f>'Action Tracking'!F50</f>
        <v>SA Reform; ASG DCO</v>
      </c>
      <c r="F49" s="51" t="str">
        <f>'Action Tracking'!I50</f>
        <v>DCO; UNDP; OCHA; EOSG (SA); DPPA</v>
      </c>
      <c r="G49" s="51" t="str">
        <f>'Action Tracking'!J50</f>
        <v>Analysis, mapping and categorization of all pooled funding and data.</v>
      </c>
      <c r="H49" s="52">
        <f>'Action Tracking'!K50</f>
        <v>46051</v>
      </c>
      <c r="I49" s="51" t="str">
        <f>'Action Tracking'!L50</f>
        <v>Present review report with recommendations for improving pooled fund arrangements with a view to strengthening incentives for pooled funding across all pillars.</v>
      </c>
      <c r="J49" s="52">
        <f>'Action Tracking'!M50</f>
        <v>46202</v>
      </c>
      <c r="K49" s="48" t="str">
        <f>'Action Tracking'!V50</f>
        <v>Review report with recommendations for how to strengthen incentives for pooled funding finalized for the Secretary-General's consideration</v>
      </c>
      <c r="L49" s="49">
        <f>'Action Tracking'!W50</f>
        <v>46202</v>
      </c>
      <c r="M49" s="50">
        <f>'Action Tracking'!X50</f>
        <v>0</v>
      </c>
      <c r="N49" s="44" t="str">
        <f>'Action Tracking'!Z50</f>
        <v>OK</v>
      </c>
    </row>
    <row r="50" spans="1:14" ht="84">
      <c r="A50" s="44">
        <f>'Action Tracking'!A51</f>
        <v>18</v>
      </c>
      <c r="B50" s="44" t="str">
        <f>'Action Tracking'!B51</f>
        <v>WP18: Funding mechanisms</v>
      </c>
      <c r="C50" s="44">
        <f>'Action Tracking'!C51</f>
        <v>77</v>
      </c>
      <c r="D50" s="44" t="str">
        <f>'Action Tracking'!D51</f>
        <v>Rationalize the portfolio of pooled funds, with particular focus on the Central Emergency Response Fund, the Peacebuilding Fund, the Joint SDG Fund, and the Country-Based Pooled Funds</v>
      </c>
      <c r="E50" s="51" t="str">
        <f>'Action Tracking'!F51</f>
        <v>SA Reform; ASG DCO</v>
      </c>
      <c r="F50" s="51" t="str">
        <f>'Action Tracking'!I51</f>
        <v>DCO; UNDP; OCHA; EOSG (SA); DPPA</v>
      </c>
      <c r="G50" s="51" t="str">
        <f>'Action Tracking'!J51</f>
        <v>Analysis, mapping and categorization of all pooled funding and data</v>
      </c>
      <c r="H50" s="52">
        <f>'Action Tracking'!K51</f>
        <v>46051</v>
      </c>
      <c r="I50" s="51" t="str">
        <f>'Action Tracking'!L51</f>
        <v>Present a portfolio view of pooled funding, with proposals and concrete steps for rationalizing the portfolio as necessary and building complementarities and synergies among pooled funds and across the UN pillars.</v>
      </c>
      <c r="J50" s="52">
        <f>'Action Tracking'!M51</f>
        <v>46265</v>
      </c>
      <c r="K50" s="48" t="str">
        <f>'Action Tracking'!V51</f>
        <v>Analysis, mapping and categorization of all relevant data finalized for the Secretary-General's consideration</v>
      </c>
      <c r="L50" s="49">
        <f>'Action Tracking'!W51</f>
        <v>46051</v>
      </c>
      <c r="M50" s="50">
        <f>'Action Tracking'!X51</f>
        <v>0</v>
      </c>
      <c r="N50" s="44" t="str">
        <f>'Action Tracking'!Z51</f>
        <v>OK</v>
      </c>
    </row>
    <row r="51" spans="1:14" ht="70">
      <c r="A51" s="44">
        <f>'Action Tracking'!A52</f>
        <v>18</v>
      </c>
      <c r="B51" s="44" t="str">
        <f>'Action Tracking'!B52</f>
        <v>WP18: Funding mechanisms</v>
      </c>
      <c r="C51" s="44">
        <f>'Action Tracking'!C52</f>
        <v>78</v>
      </c>
      <c r="D51" s="44" t="str">
        <f>'Action Tracking'!D52</f>
        <v>Prepare a proposal on how core funding can become consistently cheaper and more attractive than fragmented approaches, including options to strengthen visibility for core contributors and partners</v>
      </c>
      <c r="E51" s="51" t="str">
        <f>'Action Tracking'!F52</f>
        <v>SA Reform; ASG DCO</v>
      </c>
      <c r="F51" s="51" t="str">
        <f>'Action Tracking'!I52</f>
        <v>DCO; UNDP; OCHA; EOSG (SA); DPPA</v>
      </c>
      <c r="G51" s="51" t="str">
        <f>'Action Tracking'!J52</f>
        <v>Draft paper on strengthening the case for core funding finalized for discussion with stakeholders</v>
      </c>
      <c r="H51" s="52">
        <f>'Action Tracking'!K52</f>
        <v>46051</v>
      </c>
      <c r="I51" s="51" t="str">
        <f>'Action Tracking'!L52</f>
        <v>Present proposal to incentivize voluntary core funding and increase visibility for core contributors and partners, as well as ensure core funding drives coherence, effectiveness and efficiency.</v>
      </c>
      <c r="J51" s="52">
        <f>'Action Tracking'!M52</f>
        <v>46202</v>
      </c>
      <c r="K51" s="48" t="str">
        <f>'Action Tracking'!V52</f>
        <v>Draft paper on strengthening the case for core funding finalized for discussion with UN80 Steering Committee</v>
      </c>
      <c r="L51" s="49">
        <f>'Action Tracking'!W52</f>
        <v>46051</v>
      </c>
      <c r="M51" s="50">
        <f>'Action Tracking'!X52</f>
        <v>0</v>
      </c>
      <c r="N51" s="44" t="str">
        <f>'Action Tracking'!Z52</f>
        <v>OK</v>
      </c>
    </row>
    <row r="52" spans="1:14" ht="57" thickBot="1">
      <c r="A52" s="61">
        <f>'Action Tracking'!A53</f>
        <v>18</v>
      </c>
      <c r="B52" s="61" t="str">
        <f>'Action Tracking'!B53</f>
        <v>WP18: Funding mechanisms</v>
      </c>
      <c r="C52" s="61">
        <f>'Action Tracking'!C53</f>
        <v>91</v>
      </c>
      <c r="D52" s="61" t="str">
        <f>'Action Tracking'!D53</f>
        <v>Map existing Funding Compact review mechanisms and integrate discussion into a system-wide management mechanism at least once per year</v>
      </c>
      <c r="E52" s="62" t="str">
        <f>'Action Tracking'!F53</f>
        <v>SA Reform; ASG DCO</v>
      </c>
      <c r="F52" s="62" t="str">
        <f>'Action Tracking'!I53</f>
        <v>DCO; UNDP; OCHA; EOSG (SA); DPPA</v>
      </c>
      <c r="G52" s="62" t="str">
        <f>'Action Tracking'!J53</f>
        <v>Mapping of Funding Compact dialogues at country level and in governing bodies complete</v>
      </c>
      <c r="H52" s="63">
        <f>'Action Tracking'!K53</f>
        <v>46051</v>
      </c>
      <c r="I52" s="62" t="str">
        <f>'Action Tracking'!L53</f>
        <v>Present final mapping of Funding Compact review mechanisms and recommendations for integrating discussions into a system-wide review mechanism.</v>
      </c>
      <c r="J52" s="63">
        <f>'Action Tracking'!M53</f>
        <v>46111</v>
      </c>
      <c r="K52" s="64" t="str">
        <f>'Action Tracking'!V53</f>
        <v>Mapping of review mechanisms and relevant recommendations finalized for the Secretary-General's consideration</v>
      </c>
      <c r="L52" s="65">
        <f>'Action Tracking'!W53</f>
        <v>46111</v>
      </c>
      <c r="M52" s="66">
        <f>'Action Tracking'!X53</f>
        <v>0</v>
      </c>
      <c r="N52" s="61" t="str">
        <f>'Action Tracking'!Z53</f>
        <v>OK</v>
      </c>
    </row>
    <row r="53" spans="1:14" ht="70">
      <c r="A53" s="44">
        <f>'Action Tracking'!A54</f>
        <v>19</v>
      </c>
      <c r="B53" s="44" t="str">
        <f>'Action Tracking'!B54</f>
        <v>WP19: Mandate creation support</v>
      </c>
      <c r="C53" s="44">
        <f>'Action Tracking'!C54</f>
        <v>80</v>
      </c>
      <c r="D53" s="44" t="str">
        <f>'Action Tracking'!D54</f>
        <v>Prepare an action plan to improve staff support to Member State during mandate creation, based on mapping of existing capacities per mandating bodies and Member State priorities</v>
      </c>
      <c r="E53" s="51" t="str">
        <f>'Action Tracking'!F54</f>
        <v>USG Policy; USG DGACM</v>
      </c>
      <c r="F53" s="51" t="str">
        <f>'Action Tracking'!I54</f>
        <v>EOSG (USG Policy); DGACM; DMSPC; DGC</v>
      </c>
      <c r="G53" s="51" t="str">
        <f>'Action Tracking'!J54</f>
        <v>Draft of member state survey on mandate creation support finalized for Co-Chairs' of IAHWG on Mandate Implementation Review consideration</v>
      </c>
      <c r="H53" s="52">
        <f>'Action Tracking'!K54</f>
        <v>46052</v>
      </c>
      <c r="I53" s="51" t="str">
        <f>'Action Tracking'!L54</f>
        <v>Proposals for enhanced mandate creation support submitted to MS for decision</v>
      </c>
      <c r="J53" s="52">
        <f>'Action Tracking'!M54</f>
        <v>46142</v>
      </c>
      <c r="K53" s="48" t="str">
        <f>'Action Tracking'!V54</f>
        <v>Invitation to participate in survey shared with Member State delegates</v>
      </c>
      <c r="L53" s="49">
        <f>'Action Tracking'!W54</f>
        <v>46081</v>
      </c>
      <c r="M53" s="50">
        <f>'Action Tracking'!X54</f>
        <v>0</v>
      </c>
      <c r="N53" s="44" t="str">
        <f>'Action Tracking'!Z54</f>
        <v>OK</v>
      </c>
    </row>
    <row r="54" spans="1:14" ht="56">
      <c r="A54" s="44">
        <f>'Action Tracking'!A55</f>
        <v>19</v>
      </c>
      <c r="B54" s="44" t="str">
        <f>'Action Tracking'!B55</f>
        <v>WP19: Mandate creation support</v>
      </c>
      <c r="C54" s="44">
        <f>'Action Tracking'!C55</f>
        <v>81</v>
      </c>
      <c r="D54" s="44" t="str">
        <f>'Action Tracking'!D55</f>
        <v>Prepare an action plan (as part of item 80) to strengthen support by UN entities to coordinate and promote greater visibility across mandating bodies</v>
      </c>
      <c r="E54" s="51" t="str">
        <f>'Action Tracking'!F55</f>
        <v>USG Policy; USG DGACM</v>
      </c>
      <c r="F54" s="51" t="str">
        <f>'Action Tracking'!I55</f>
        <v>EOSG (USG Policy); DGACM</v>
      </c>
      <c r="G54" s="51" t="str">
        <f>'Action Tracking'!J55</f>
        <v>Mapping of available support of mandate creation system-wide finalized</v>
      </c>
      <c r="H54" s="52">
        <f>'Action Tracking'!K55</f>
        <v>46112</v>
      </c>
      <c r="I54" s="51" t="str">
        <f>'Action Tracking'!L55</f>
        <v>A website to coordinate and promote greater visibility across mandating bodies launched</v>
      </c>
      <c r="J54" s="52">
        <f>'Action Tracking'!M55</f>
        <v>46264</v>
      </c>
      <c r="K54" s="48" t="str">
        <f>'Action Tracking'!V55</f>
        <v>Mapping of available support of mandate creation system-wide finalized for the Secretary-General's consideration</v>
      </c>
      <c r="L54" s="49">
        <f>'Action Tracking'!W55</f>
        <v>46112</v>
      </c>
      <c r="M54" s="50">
        <f>'Action Tracking'!X55</f>
        <v>0</v>
      </c>
      <c r="N54" s="44" t="str">
        <f>'Action Tracking'!Z55</f>
        <v>OK</v>
      </c>
    </row>
    <row r="55" spans="1:14" ht="71" thickBot="1">
      <c r="A55" s="61">
        <f>'Action Tracking'!A56</f>
        <v>19</v>
      </c>
      <c r="B55" s="61" t="str">
        <f>'Action Tracking'!B56</f>
        <v>WP19: Mandate creation support</v>
      </c>
      <c r="C55" s="61">
        <f>'Action Tracking'!C56</f>
        <v>83</v>
      </c>
      <c r="D55" s="61" t="str">
        <f>'Action Tracking'!D56</f>
        <v>Prepare an action plan to complement the estimates of programme budget implications (PBI) for new mandates with additional info related to activities across the UN System</v>
      </c>
      <c r="E55" s="62" t="str">
        <f>'Action Tracking'!F56</f>
        <v>USG Policy; USG DGACM</v>
      </c>
      <c r="F55" s="62" t="str">
        <f>'Action Tracking'!I56</f>
        <v>EOSG (USG Policy); DGACM; DMSPC</v>
      </c>
      <c r="G55" s="62" t="str">
        <f>'Action Tracking'!J56</f>
        <v>Initial concept note finalized between EOSG, DGACM, and OPPFB</v>
      </c>
      <c r="H55" s="63">
        <f>'Action Tracking'!K56</f>
        <v>46112</v>
      </c>
      <c r="I55" s="62" t="str">
        <f>'Action Tracking'!L56</f>
        <v>Proposals for enhanced mandate creation support submitted to MS for decision</v>
      </c>
      <c r="J55" s="63">
        <f>'Action Tracking'!M56</f>
        <v>46142</v>
      </c>
      <c r="K55" s="64" t="str">
        <f>'Action Tracking'!V56</f>
        <v>Initial concept note finalized for the Secretary-General's consideration</v>
      </c>
      <c r="L55" s="65">
        <f>'Action Tracking'!W56</f>
        <v>46112</v>
      </c>
      <c r="M55" s="66">
        <f>'Action Tracking'!X56</f>
        <v>0</v>
      </c>
      <c r="N55" s="61" t="str">
        <f>'Action Tracking'!Z56</f>
        <v>OK</v>
      </c>
    </row>
    <row r="56" spans="1:14" ht="84">
      <c r="A56" s="44">
        <f>'Action Tracking'!A57</f>
        <v>20</v>
      </c>
      <c r="B56" s="44" t="str">
        <f>'Action Tracking'!B57</f>
        <v>WP20: UN budget / programme management</v>
      </c>
      <c r="C56" s="44">
        <f>'Action Tracking'!C57</f>
        <v>88</v>
      </c>
      <c r="D56" s="44" t="str">
        <f>'Action Tracking'!D57</f>
        <v>Develop action plan to strengthen internal strategic oversight of the UN system division of labour at all levels to ensure effective, efficient programmatic and operational support, building on existing reforms</v>
      </c>
      <c r="E56" s="51" t="str">
        <f>'Action Tracking'!F57</f>
        <v>CDC</v>
      </c>
      <c r="F56" s="51" t="str">
        <f>'Action Tracking'!I57</f>
        <v>DMSPC; UNEP; UNICEF; EOSG (USG Policy); DOS</v>
      </c>
      <c r="G56" s="51" t="str">
        <f>'Action Tracking'!J57</f>
        <v xml:space="preserve">Assessment lead confirmed and TOR developed </v>
      </c>
      <c r="H56" s="52">
        <f>'Action Tracking'!K57</f>
        <v>46111</v>
      </c>
      <c r="I56" s="51" t="str">
        <f>'Action Tracking'!L57</f>
        <v>Findings and Recommendation of the assessment presented to CEB and Member States</v>
      </c>
      <c r="J56" s="52">
        <f>'Action Tracking'!M57</f>
        <v>46294</v>
      </c>
      <c r="K56" s="48" t="str">
        <f>'Action Tracking'!V57</f>
        <v>Terms of reference developed and assessment lead confirmed</v>
      </c>
      <c r="L56" s="49">
        <f>'Action Tracking'!W57</f>
        <v>46111</v>
      </c>
      <c r="M56" s="50">
        <f>'Action Tracking'!X57</f>
        <v>0</v>
      </c>
      <c r="N56" s="44" t="str">
        <f>'Action Tracking'!Z57</f>
        <v>OK</v>
      </c>
    </row>
    <row r="57" spans="1:14" ht="70">
      <c r="A57" s="44">
        <f>'Action Tracking'!A58</f>
        <v>20</v>
      </c>
      <c r="B57" s="44" t="str">
        <f>'Action Tracking'!B58</f>
        <v>WP20: UN budget / programme management</v>
      </c>
      <c r="C57" s="44">
        <f>'Action Tracking'!C58</f>
        <v>89</v>
      </c>
      <c r="D57" s="44" t="str">
        <f>'Action Tracking'!D58</f>
        <v xml:space="preserve">As part of the standard budget guidance process, develop an action plan to ensure UN entities systematically review mandate citations in their programmes, incl. based on comparative advantage </v>
      </c>
      <c r="E57" s="51" t="str">
        <f>'Action Tracking'!F58</f>
        <v>CDC</v>
      </c>
      <c r="F57" s="51" t="str">
        <f>'Action Tracking'!I58</f>
        <v>DMSPC; UNEP; UNICEF; DOS; EOSG (USG Policy)</v>
      </c>
      <c r="G57" s="51" t="str">
        <f>'Action Tracking'!J58</f>
        <v>Revised budget instruction issued by PPBD accompanied by a political message from EOSG</v>
      </c>
      <c r="H57" s="52">
        <f>'Action Tracking'!K58</f>
        <v>46052</v>
      </c>
      <c r="I57" s="51" t="str">
        <f>'Action Tracking'!L58</f>
        <v xml:space="preserve">Budget instructions for the 2028 programme plan issued with fully developed guidance on defining comparative advantage, based on lessons learned from the 2027 process </v>
      </c>
      <c r="J57" s="52">
        <f>'Action Tracking'!M58</f>
        <v>46326</v>
      </c>
      <c r="K57" s="48" t="str">
        <f>'Action Tracking'!V58</f>
        <v>Additional review instructions shared with relevant UN entities</v>
      </c>
      <c r="L57" s="49">
        <f>'Action Tracking'!W58</f>
        <v>46052</v>
      </c>
      <c r="M57" s="50">
        <f>'Action Tracking'!X58</f>
        <v>0</v>
      </c>
      <c r="N57" s="44" t="str">
        <f>'Action Tracking'!Z58</f>
        <v>OK</v>
      </c>
    </row>
    <row r="58" spans="1:14" ht="71" thickBot="1">
      <c r="A58" s="61">
        <f>'Action Tracking'!A59</f>
        <v>20</v>
      </c>
      <c r="B58" s="61" t="str">
        <f>'Action Tracking'!B59</f>
        <v>WP20: UN budget / programme management</v>
      </c>
      <c r="C58" s="61">
        <f>'Action Tracking'!C59</f>
        <v>92</v>
      </c>
      <c r="D58" s="61" t="str">
        <f>'Action Tracking'!D59</f>
        <v xml:space="preserve">Prepare proposals by the SG as per Rule 105.6 of ST/SGB/2018/3 for the “GA, with justification, a list of outputs from the previous period which, in the judgement of the SG, can be discontinued” </v>
      </c>
      <c r="E58" s="62" t="str">
        <f>'Action Tracking'!F59</f>
        <v>CDC</v>
      </c>
      <c r="F58" s="62" t="str">
        <f>'Action Tracking'!I59</f>
        <v>DMSPC; UNEP; UNICEF; DOS; EOSG (USG Policy)</v>
      </c>
      <c r="G58" s="62" t="str">
        <f>'Action Tracking'!J59</f>
        <v>Revised budget instruction issued by PPBD accompanied by a political message from EOSG</v>
      </c>
      <c r="H58" s="63">
        <f>'Action Tracking'!K59</f>
        <v>46053</v>
      </c>
      <c r="I58" s="62" t="str">
        <f>'Action Tracking'!L59</f>
        <v xml:space="preserve">Budget instructions for the 2028 programme plan issued with fully developed guidance on defining comparative advantage, based on lessons learned from the 2027 process </v>
      </c>
      <c r="J58" s="63">
        <f>'Action Tracking'!M59</f>
        <v>46326</v>
      </c>
      <c r="K58" s="64" t="str">
        <f>'Action Tracking'!V59</f>
        <v>Additional review instructions shared with relevant UN entities</v>
      </c>
      <c r="L58" s="65">
        <f>'Action Tracking'!W59</f>
        <v>46326</v>
      </c>
      <c r="M58" s="66">
        <f>'Action Tracking'!X59</f>
        <v>0</v>
      </c>
      <c r="N58" s="61" t="str">
        <f>'Action Tracking'!Z59</f>
        <v>OK</v>
      </c>
    </row>
    <row r="59" spans="1:14" ht="71" thickBot="1">
      <c r="A59" s="67">
        <f>'Action Tracking'!A60</f>
        <v>21</v>
      </c>
      <c r="B59" s="67" t="str">
        <f>'Action Tracking'!B60</f>
        <v>WP21: System-wide results management</v>
      </c>
      <c r="C59" s="67">
        <f>'Action Tracking'!C60</f>
        <v>93</v>
      </c>
      <c r="D59" s="67" t="str">
        <f>'Action Tracking'!D60</f>
        <v>Develop an action plan to strengthen and harmonize management for results mechanisms across the UN system, including how results are measured and communicated</v>
      </c>
      <c r="E59" s="68" t="str">
        <f>'Action Tracking'!F60</f>
        <v>SA Reform</v>
      </c>
      <c r="F59" s="68" t="str">
        <f>'Action Tracking'!I60</f>
        <v>EOSG (SA); ITU; OIOS; UNDP</v>
      </c>
      <c r="G59" s="68" t="str">
        <f>'Action Tracking'!J60</f>
        <v>Draft Concept Paper establishing the intellectual foundation for the proposed Action Plan including communication of systemwide results</v>
      </c>
      <c r="H59" s="69">
        <f>'Action Tracking'!K60</f>
        <v>46052</v>
      </c>
      <c r="I59" s="68" t="str">
        <f>'Action Tracking'!L60</f>
        <v>Final Action Plan outlining an implementable system-wide 				pathway for a results-based management mechanism / 				communication standards</v>
      </c>
      <c r="J59" s="69">
        <f>'Action Tracking'!M60</f>
        <v>46172</v>
      </c>
      <c r="K59" s="70" t="str">
        <f>'Action Tracking'!V60</f>
        <v>Action plan for a strengthened UN System-Wide Management for Results (MfR) Mechanism finalized for the Secretary-General's consideration</v>
      </c>
      <c r="L59" s="71">
        <f>'Action Tracking'!W60</f>
        <v>46172</v>
      </c>
      <c r="M59" s="72">
        <f>'Action Tracking'!X60</f>
        <v>0</v>
      </c>
      <c r="N59" s="67" t="str">
        <f>'Action Tracking'!Z60</f>
        <v>OK</v>
      </c>
    </row>
    <row r="60" spans="1:14" ht="56">
      <c r="A60" s="44">
        <f>'Action Tracking'!A61</f>
        <v>22</v>
      </c>
      <c r="B60" s="44" t="str">
        <f>'Action Tracking'!B61</f>
        <v>WP22: Prevention, peacebuilding, peace support</v>
      </c>
      <c r="C60" s="44">
        <f>'Action Tracking'!C61</f>
        <v>1</v>
      </c>
      <c r="D60" s="44" t="str">
        <f>'Action Tracking'!D61</f>
        <v>Establish a unified Peacebuilding and Peace Support Office (one ASG to be abolished)</v>
      </c>
      <c r="E60" s="51" t="str">
        <f>'Action Tracking'!F61</f>
        <v>USG DPPA; USG DPO</v>
      </c>
      <c r="F60" s="51" t="str">
        <f>'Action Tracking'!I61</f>
        <v>DPPA; DPO</v>
      </c>
      <c r="G60" s="51" t="str">
        <f>'Action Tracking'!J61</f>
        <v>GA endorses proposed establishment of unified PBPSO and abolition of one ASG post</v>
      </c>
      <c r="H60" s="52">
        <f>'Action Tracking'!K61</f>
        <v>46022</v>
      </c>
      <c r="I60" s="51" t="str">
        <f>'Action Tracking'!L61</f>
        <v>GA endorses proposed establishment of unified PBPSO and abolition of one ASG post</v>
      </c>
      <c r="J60" s="52">
        <f>'Action Tracking'!M61</f>
        <v>46022</v>
      </c>
      <c r="K60" s="48" t="str">
        <f>'Action Tracking'!V61</f>
        <v>No longer relevant</v>
      </c>
      <c r="L60" s="49">
        <f>'Action Tracking'!W61</f>
        <v>0</v>
      </c>
      <c r="M60" s="50" t="str">
        <f>'Action Tracking'!X61</f>
        <v>Decision taken, as per GA resolution 80/242</v>
      </c>
      <c r="N60" s="59" t="str">
        <f>'Action Tracking'!Z61</f>
        <v>OK</v>
      </c>
    </row>
    <row r="61" spans="1:14" ht="56">
      <c r="A61" s="44">
        <f>'Action Tracking'!A62</f>
        <v>22</v>
      </c>
      <c r="B61" s="44" t="str">
        <f>'Action Tracking'!B62</f>
        <v>WP22: Prevention, peacebuilding, peace support</v>
      </c>
      <c r="C61" s="44">
        <f>'Action Tracking'!C62</f>
        <v>2</v>
      </c>
      <c r="D61" s="44" t="str">
        <f>'Action Tracking'!D62</f>
        <v>Establish a single centre of excellence on Women, Peace and Security, bringing together the DPPA and DPO gender units</v>
      </c>
      <c r="E61" s="51" t="str">
        <f>'Action Tracking'!F62</f>
        <v>USG DPPA; USG DPO</v>
      </c>
      <c r="F61" s="51" t="str">
        <f>'Action Tracking'!I62</f>
        <v>DPPA; DPO</v>
      </c>
      <c r="G61" s="51" t="str">
        <f>'Action Tracking'!J62</f>
        <v>GA endorses proposed merger of the separate gender units in DPPA and DPO.  Merged gender unit takes up its work, reporting to both USGs</v>
      </c>
      <c r="H61" s="52">
        <f>'Action Tracking'!K62</f>
        <v>46022</v>
      </c>
      <c r="I61" s="51" t="str">
        <f>'Action Tracking'!L62</f>
        <v>GA endorses proposed merger of the separate gender units in DPPA and DPO.  Merged gender unit takes up its work, reporting to both USGs</v>
      </c>
      <c r="J61" s="52">
        <f>'Action Tracking'!M62</f>
        <v>46022</v>
      </c>
      <c r="K61" s="48" t="str">
        <f>'Action Tracking'!V62</f>
        <v>No longer relevant</v>
      </c>
      <c r="L61" s="49">
        <f>'Action Tracking'!W62</f>
        <v>0</v>
      </c>
      <c r="M61" s="50" t="str">
        <f>'Action Tracking'!X62</f>
        <v>Decision taken, as per GA resolution 80/242</v>
      </c>
      <c r="N61" s="59" t="str">
        <f>'Action Tracking'!Z62</f>
        <v>OK</v>
      </c>
    </row>
    <row r="62" spans="1:14" ht="56">
      <c r="A62" s="44">
        <f>'Action Tracking'!A63</f>
        <v>22</v>
      </c>
      <c r="B62" s="44" t="str">
        <f>'Action Tracking'!B63</f>
        <v>WP22: Prevention, peacebuilding, peace support</v>
      </c>
      <c r="C62" s="44">
        <f>'Action Tracking'!C63</f>
        <v>3</v>
      </c>
      <c r="D62" s="44" t="str">
        <f>'Action Tracking'!D63</f>
        <v>Establish mechanisms – including joint strategies and programmes – to link cross-cutting functions (incl. expertise in data analytics, digital and artificial intelligence)</v>
      </c>
      <c r="E62" s="51" t="str">
        <f>'Action Tracking'!F63</f>
        <v>USG DPPA; USG DPO</v>
      </c>
      <c r="F62" s="51" t="str">
        <f>'Action Tracking'!I63</f>
        <v>DPPA; DPO</v>
      </c>
      <c r="G62" s="51" t="str">
        <f>'Action Tracking'!J63</f>
        <v>Discussions and clarification on mechanisms, including joint strategies and programmes, to link cross-cutting functions </v>
      </c>
      <c r="H62" s="52">
        <f>'Action Tracking'!K63</f>
        <v>46111</v>
      </c>
      <c r="I62" s="51" t="str">
        <f>'Action Tracking'!L63</f>
        <v>Clear division of labour and joint mechanisms</v>
      </c>
      <c r="J62" s="52">
        <f>'Action Tracking'!M63</f>
        <v>46386</v>
      </c>
      <c r="K62" s="48" t="str">
        <f>'Action Tracking'!V63</f>
        <v>Proposal prepared for the Secretary-General's consideration</v>
      </c>
      <c r="L62" s="49">
        <f>'Action Tracking'!W63</f>
        <v>46111</v>
      </c>
      <c r="M62" s="50">
        <f>'Action Tracking'!X63</f>
        <v>0</v>
      </c>
      <c r="N62" s="59" t="str">
        <f>'Action Tracking'!Z63</f>
        <v>OK</v>
      </c>
    </row>
    <row r="63" spans="1:14" ht="56">
      <c r="A63" s="44">
        <f>'Action Tracking'!A64</f>
        <v>22</v>
      </c>
      <c r="B63" s="44" t="str">
        <f>'Action Tracking'!B64</f>
        <v>WP22: Prevention, peacebuilding, peace support</v>
      </c>
      <c r="C63" s="44">
        <f>'Action Tracking'!C64</f>
        <v>6</v>
      </c>
      <c r="D63" s="44" t="str">
        <f>'Action Tracking'!D64</f>
        <v>Consolidate two Assistant Secretary-General posts for the Americas, Europe, Asia-Pacific, Middle East into one</v>
      </c>
      <c r="E63" s="51" t="str">
        <f>'Action Tracking'!F64</f>
        <v>USG DPPA; USG DPO</v>
      </c>
      <c r="F63" s="51" t="str">
        <f>'Action Tracking'!I64</f>
        <v>DPPA; DPO</v>
      </c>
      <c r="G63" s="51" t="str">
        <f>'Action Tracking'!J64</f>
        <v>GA endorses proposed consolidation of two ASG posts and offices</v>
      </c>
      <c r="H63" s="52">
        <f>'Action Tracking'!K64</f>
        <v>46022</v>
      </c>
      <c r="I63" s="51" t="str">
        <f>'Action Tracking'!L64</f>
        <v>GA endorses proposed consolidation of two ASG posts and offices</v>
      </c>
      <c r="J63" s="52">
        <f>'Action Tracking'!M64</f>
        <v>46022</v>
      </c>
      <c r="K63" s="48" t="str">
        <f>'Action Tracking'!V64</f>
        <v>No longer relevant</v>
      </c>
      <c r="L63" s="49">
        <f>'Action Tracking'!W64</f>
        <v>0</v>
      </c>
      <c r="M63" s="50" t="str">
        <f>'Action Tracking'!X64</f>
        <v>Decision taken, as per GA resolution 80/242</v>
      </c>
      <c r="N63" s="59" t="str">
        <f>'Action Tracking'!Z64</f>
        <v>OK</v>
      </c>
    </row>
    <row r="64" spans="1:14" ht="56">
      <c r="A64" s="44">
        <f>'Action Tracking'!A65</f>
        <v>22</v>
      </c>
      <c r="B64" s="44" t="str">
        <f>'Action Tracking'!B65</f>
        <v>WP22: Prevention, peacebuilding, peace support</v>
      </c>
      <c r="C64" s="44">
        <f>'Action Tracking'!C65</f>
        <v>7</v>
      </c>
      <c r="D64" s="44" t="str">
        <f>'Action Tracking'!D65</f>
        <v>Combine the Western and Northern Africa divisions</v>
      </c>
      <c r="E64" s="51" t="str">
        <f>'Action Tracking'!F65</f>
        <v>USG DPPA; USG DPO</v>
      </c>
      <c r="F64" s="51" t="str">
        <f>'Action Tracking'!I65</f>
        <v>DPPA; DPO</v>
      </c>
      <c r="G64" s="51" t="str">
        <f>'Action Tracking'!J65</f>
        <v>GA endorses proposed combination of WAD and NAD </v>
      </c>
      <c r="H64" s="52">
        <f>'Action Tracking'!K65</f>
        <v>46022</v>
      </c>
      <c r="I64" s="51" t="str">
        <f>'Action Tracking'!L65</f>
        <v>GA endorses proposed combination of WAD and NAD </v>
      </c>
      <c r="J64" s="52">
        <f>'Action Tracking'!M65</f>
        <v>46022</v>
      </c>
      <c r="K64" s="48" t="str">
        <f>'Action Tracking'!V65</f>
        <v>No longer relevant</v>
      </c>
      <c r="L64" s="49">
        <f>'Action Tracking'!W65</f>
        <v>0</v>
      </c>
      <c r="M64" s="50" t="str">
        <f>'Action Tracking'!X65</f>
        <v>Decision taken, as per GA resolution 80/242</v>
      </c>
      <c r="N64" s="59" t="str">
        <f>'Action Tracking'!Z65</f>
        <v>OK</v>
      </c>
    </row>
    <row r="65" spans="1:14" ht="42">
      <c r="A65" s="44">
        <f>'Action Tracking'!A66</f>
        <v>22</v>
      </c>
      <c r="B65" s="44" t="str">
        <f>'Action Tracking'!B66</f>
        <v>WP22: Prevention, peacebuilding, peace support</v>
      </c>
      <c r="C65" s="44">
        <f>'Action Tracking'!C66</f>
        <v>8</v>
      </c>
      <c r="D65" s="44" t="str">
        <f>'Action Tracking'!D66</f>
        <v>Integrate the UN Mission to Support the Hudaydah Agreement into the Office of the Special Envoy for Yemen</v>
      </c>
      <c r="E65" s="51" t="str">
        <f>'Action Tracking'!F66</f>
        <v>USG DPPA; USG DPO</v>
      </c>
      <c r="F65" s="51" t="str">
        <f>'Action Tracking'!I66</f>
        <v>DPPA; DPO</v>
      </c>
      <c r="G65" s="51" t="str">
        <f>'Action Tracking'!J66</f>
        <v>Security Council decision on integration</v>
      </c>
      <c r="H65" s="52">
        <f>'Action Tracking'!K66</f>
        <v>46052</v>
      </c>
      <c r="I65" s="51" t="str">
        <f>'Action Tracking'!L66</f>
        <v>Revised budget for and implementation of integration</v>
      </c>
      <c r="J65" s="52">
        <f>'Action Tracking'!M66</f>
        <v>46386</v>
      </c>
      <c r="K65" s="48" t="str">
        <f>'Action Tracking'!V66</f>
        <v>Forthcoming</v>
      </c>
      <c r="L65" s="49">
        <f>'Action Tracking'!W66</f>
        <v>0</v>
      </c>
      <c r="M65" s="50">
        <f>'Action Tracking'!X66</f>
        <v>0</v>
      </c>
      <c r="N65" s="59" t="str">
        <f>'Action Tracking'!Z66</f>
        <v>OK</v>
      </c>
    </row>
    <row r="66" spans="1:14" ht="42">
      <c r="A66" s="44">
        <f>'Action Tracking'!A67</f>
        <v>22</v>
      </c>
      <c r="B66" s="44" t="str">
        <f>'Action Tracking'!B67</f>
        <v>WP22: Prevention, peacebuilding, peace support</v>
      </c>
      <c r="C66" s="44">
        <f>'Action Tracking'!C67</f>
        <v>9</v>
      </c>
      <c r="D66" s="44" t="str">
        <f>'Action Tracking'!D67</f>
        <v>Streamline and align the UN Office for Central Africa (UNOCA) and the Office of the Special Envoy for the Great Lakes</v>
      </c>
      <c r="E66" s="51" t="str">
        <f>'Action Tracking'!F67</f>
        <v>USG DPPA; USG DPO</v>
      </c>
      <c r="F66" s="51" t="str">
        <f>'Action Tracking'!I67</f>
        <v>DPPA; DPO</v>
      </c>
      <c r="G66" s="51" t="str">
        <f>'Action Tracking'!J67</f>
        <v>Relevant Security Council consultations/decisions</v>
      </c>
      <c r="H66" s="52">
        <f>'Action Tracking'!K67</f>
        <v>46111</v>
      </c>
      <c r="I66" s="51" t="str">
        <f>'Action Tracking'!L67</f>
        <v>Revised budget for and implementation of integration</v>
      </c>
      <c r="J66" s="52">
        <f>'Action Tracking'!M67</f>
        <v>46386</v>
      </c>
      <c r="K66" s="48" t="str">
        <f>'Action Tracking'!V67</f>
        <v>Forthcoming</v>
      </c>
      <c r="L66" s="49">
        <f>'Action Tracking'!W67</f>
        <v>0</v>
      </c>
      <c r="M66" s="50">
        <f>'Action Tracking'!X67</f>
        <v>0</v>
      </c>
      <c r="N66" s="59" t="str">
        <f>'Action Tracking'!Z67</f>
        <v>OK</v>
      </c>
    </row>
    <row r="67" spans="1:14" ht="56">
      <c r="A67" s="44">
        <f>'Action Tracking'!A68</f>
        <v>22</v>
      </c>
      <c r="B67" s="44" t="str">
        <f>'Action Tracking'!B68</f>
        <v>WP22: Prevention, peacebuilding, peace support</v>
      </c>
      <c r="C67" s="44">
        <f>'Action Tracking'!C68</f>
        <v>10</v>
      </c>
      <c r="D67" s="44" t="str">
        <f>'Action Tracking'!D68</f>
        <v xml:space="preserve">Streamline and align the Office of the Special Adviser for Cyprus with the UN Peacekeeping Force in Cyprus (UNFICYP) </v>
      </c>
      <c r="E67" s="51" t="str">
        <f>'Action Tracking'!F68</f>
        <v>USG DPPA; USG DPO</v>
      </c>
      <c r="F67" s="51" t="str">
        <f>'Action Tracking'!I68</f>
        <v>DPPA; DPO</v>
      </c>
      <c r="G67" s="51" t="str">
        <f>'Action Tracking'!J68</f>
        <v>GA endorses revised estimates for OSASG Cyprus</v>
      </c>
      <c r="H67" s="52">
        <f>'Action Tracking'!K68</f>
        <v>46022</v>
      </c>
      <c r="I67" s="51" t="str">
        <f>'Action Tracking'!L68</f>
        <v>Further implementation of strengthened alignment</v>
      </c>
      <c r="J67" s="52">
        <f>'Action Tracking'!M68</f>
        <v>46386</v>
      </c>
      <c r="K67" s="48" t="str">
        <f>'Action Tracking'!V68</f>
        <v>No longer relevant</v>
      </c>
      <c r="L67" s="49">
        <f>'Action Tracking'!W68</f>
        <v>0</v>
      </c>
      <c r="M67" s="50" t="str">
        <f>'Action Tracking'!X68</f>
        <v>Decision taken, as per GA resolution 80/242</v>
      </c>
      <c r="N67" s="59" t="str">
        <f>'Action Tracking'!Z68</f>
        <v>OK</v>
      </c>
    </row>
    <row r="68" spans="1:14" ht="56">
      <c r="A68" s="44">
        <f>'Action Tracking'!A69</f>
        <v>22</v>
      </c>
      <c r="B68" s="44" t="str">
        <f>'Action Tracking'!B69</f>
        <v>WP22: Prevention, peacebuilding, peace support</v>
      </c>
      <c r="C68" s="44">
        <f>'Action Tracking'!C69</f>
        <v>11</v>
      </c>
      <c r="D68" s="44" t="str">
        <f>'Action Tracking'!D69</f>
        <v>Rationalize the Office of the United Nations Representative to the Geneva International Discussions (UNRGID)</v>
      </c>
      <c r="E68" s="51" t="str">
        <f>'Action Tracking'!F69</f>
        <v>USG DPPA; USG DPO</v>
      </c>
      <c r="F68" s="51" t="str">
        <f>'Action Tracking'!I69</f>
        <v>DPPA; DPO</v>
      </c>
      <c r="G68" s="51" t="str">
        <f>'Action Tracking'!J69</f>
        <v>GA endorses revised estimates for UNRGID</v>
      </c>
      <c r="H68" s="52">
        <f>'Action Tracking'!K69</f>
        <v>46022</v>
      </c>
      <c r="I68" s="51" t="str">
        <f>'Action Tracking'!L69</f>
        <v>Full implementation of structural changes</v>
      </c>
      <c r="J68" s="52">
        <f>'Action Tracking'!M69</f>
        <v>46386</v>
      </c>
      <c r="K68" s="48" t="str">
        <f>'Action Tracking'!V69</f>
        <v>No longer relevant</v>
      </c>
      <c r="L68" s="49">
        <f>'Action Tracking'!W69</f>
        <v>0</v>
      </c>
      <c r="M68" s="50" t="str">
        <f>'Action Tracking'!X69</f>
        <v>Decision taken, as per GA resolution 80/242</v>
      </c>
      <c r="N68" s="59" t="str">
        <f>'Action Tracking'!Z69</f>
        <v>OK</v>
      </c>
    </row>
    <row r="69" spans="1:14" ht="42">
      <c r="A69" s="44">
        <f>'Action Tracking'!A70</f>
        <v>22</v>
      </c>
      <c r="B69" s="44" t="str">
        <f>'Action Tracking'!B70</f>
        <v>WP22: Prevention, peacebuilding, peace support</v>
      </c>
      <c r="C69" s="44">
        <f>'Action Tracking'!C70</f>
        <v>49</v>
      </c>
      <c r="D69" s="44" t="str">
        <f>'Action Tracking'!D70</f>
        <v xml:space="preserve">Host regional peace and development advisers in Regional Commissions </v>
      </c>
      <c r="E69" s="51" t="str">
        <f>'Action Tracking'!F70</f>
        <v>USG DPPA; USG DPO</v>
      </c>
      <c r="F69" s="51" t="str">
        <f>'Action Tracking'!I70</f>
        <v>DPPA; DPO</v>
      </c>
      <c r="G69" s="51" t="str">
        <f>'Action Tracking'!J70</f>
        <v>Establishing financial and other necessary conditions</v>
      </c>
      <c r="H69" s="52">
        <f>'Action Tracking'!K70</f>
        <v>46111</v>
      </c>
      <c r="I69" s="51" t="str">
        <f>'Action Tracking'!L70</f>
        <v>Hosting of regional PDAs in RECs, financial and other necessary conditions permitting</v>
      </c>
      <c r="J69" s="52">
        <f>'Action Tracking'!M70</f>
        <v>46386</v>
      </c>
      <c r="K69" s="48" t="str">
        <f>'Action Tracking'!V70</f>
        <v>Assessment of prerequisite actions prepared for Secretary-General's consideration</v>
      </c>
      <c r="L69" s="49">
        <f>'Action Tracking'!W70</f>
        <v>46111</v>
      </c>
      <c r="M69" s="50">
        <f>'Action Tracking'!X70</f>
        <v>0</v>
      </c>
      <c r="N69" s="59" t="str">
        <f>'Action Tracking'!Z70</f>
        <v>OK</v>
      </c>
    </row>
    <row r="70" spans="1:14" ht="70">
      <c r="A70" s="44">
        <f>'Action Tracking'!A71</f>
        <v>22</v>
      </c>
      <c r="B70" s="44" t="str">
        <f>'Action Tracking'!B71</f>
        <v>WP22: Prevention, peacebuilding, peace support</v>
      </c>
      <c r="C70" s="44">
        <f>'Action Tracking'!C71</f>
        <v>52</v>
      </c>
      <c r="D70" s="44" t="str">
        <f>'Action Tracking'!D71</f>
        <v>Begin co-locating special political missions with a regional focus and regional peace and development advisers with Regional Commissions serving as physical hosts (or remote participation)</v>
      </c>
      <c r="E70" s="51" t="str">
        <f>'Action Tracking'!F71</f>
        <v>USG DPPA; USG DPO</v>
      </c>
      <c r="F70" s="51" t="str">
        <f>'Action Tracking'!I71</f>
        <v>DPPA; DPO</v>
      </c>
      <c r="G70" s="51" t="str">
        <f>'Action Tracking'!J71</f>
        <v>Establishing mandate, budgetary and other necessary measures and challenges</v>
      </c>
      <c r="H70" s="52">
        <f>'Action Tracking'!K71</f>
        <v>46111</v>
      </c>
      <c r="I70" s="51" t="str">
        <f>'Action Tracking'!L71</f>
        <v>Submission of final proposals pertaining to closer collaboration between SPMs and RECs</v>
      </c>
      <c r="J70" s="52">
        <f>'Action Tracking'!M71</f>
        <v>46386</v>
      </c>
      <c r="K70" s="48" t="str">
        <f>'Action Tracking'!V71</f>
        <v>Proposals prepared for the Secretary-General's consideration</v>
      </c>
      <c r="L70" s="49">
        <f>'Action Tracking'!W71</f>
        <v>46111</v>
      </c>
      <c r="M70" s="50">
        <f>'Action Tracking'!X71</f>
        <v>0</v>
      </c>
      <c r="N70" s="59" t="str">
        <f>'Action Tracking'!Z71</f>
        <v>OK</v>
      </c>
    </row>
    <row r="71" spans="1:14" ht="98">
      <c r="A71" s="44">
        <f>'Action Tracking'!A72</f>
        <v>22</v>
      </c>
      <c r="B71" s="44" t="str">
        <f>'Action Tracking'!B72</f>
        <v>WP22: Prevention, peacebuilding, peace support</v>
      </c>
      <c r="C71" s="44">
        <f>'Action Tracking'!C72</f>
        <v>55</v>
      </c>
      <c r="D71" s="44" t="str">
        <f>'Action Tracking'!D72</f>
        <v>Align surge capacity for peace and security, rule of law, disarmament, demobilization and reintegration, security sector reform, small arms control, mission transitions, prevention of extremist violence, and counterterrorism to support regional needs. </v>
      </c>
      <c r="E71" s="51" t="str">
        <f>'Action Tracking'!F72</f>
        <v>USG DPPA; USG DPO</v>
      </c>
      <c r="F71" s="51" t="str">
        <f>'Action Tracking'!I72</f>
        <v>DPPA; ODA; UNOCT</v>
      </c>
      <c r="G71" s="51" t="str">
        <f>'Action Tracking'!J72</f>
        <v>Clarify meaning of this action</v>
      </c>
      <c r="H71" s="52">
        <f>'Action Tracking'!K72</f>
        <v>46111</v>
      </c>
      <c r="I71" s="51" t="str">
        <f>'Action Tracking'!L72</f>
        <v>Align surge capacities as possible</v>
      </c>
      <c r="J71" s="52">
        <f>'Action Tracking'!M72</f>
        <v>46386</v>
      </c>
      <c r="K71" s="48" t="str">
        <f>'Action Tracking'!V72</f>
        <v>Concept note prepared for the Secretary-General's consideration</v>
      </c>
      <c r="L71" s="49">
        <f>'Action Tracking'!W72</f>
        <v>46111</v>
      </c>
      <c r="M71" s="50">
        <f>'Action Tracking'!X72</f>
        <v>0</v>
      </c>
      <c r="N71" s="59" t="str">
        <f>'Action Tracking'!Z72</f>
        <v>OK</v>
      </c>
    </row>
    <row r="72" spans="1:14" ht="71" thickBot="1">
      <c r="A72" s="61">
        <f>'Action Tracking'!A73</f>
        <v>22</v>
      </c>
      <c r="B72" s="61" t="str">
        <f>'Action Tracking'!B73</f>
        <v>WP22: Prevention, peacebuilding, peace support</v>
      </c>
      <c r="C72" s="61">
        <f>'Action Tracking'!C73</f>
        <v>58</v>
      </c>
      <c r="D72" s="61" t="str">
        <f>'Action Tracking'!D73</f>
        <v>Integrate peace and development advisory support in all relevant Resident Coordinator Offices to ensure conflict risks are integrated into common country analyses</v>
      </c>
      <c r="E72" s="62" t="str">
        <f>'Action Tracking'!F73</f>
        <v>USG DPPA; USG DPO</v>
      </c>
      <c r="F72" s="62" t="str">
        <f>'Action Tracking'!I73</f>
        <v>DPPA; DCO</v>
      </c>
      <c r="G72" s="62" t="str">
        <f>'Action Tracking'!J73</f>
        <v>Establishing financial and other necessary conditions</v>
      </c>
      <c r="H72" s="63">
        <f>'Action Tracking'!K73</f>
        <v>46111</v>
      </c>
      <c r="I72" s="62" t="str">
        <f>'Action Tracking'!L73</f>
        <v>Provision of PDA support to relevant RCOs, financial and other necessary conditions permitting</v>
      </c>
      <c r="J72" s="63">
        <f>'Action Tracking'!M73</f>
        <v>46386</v>
      </c>
      <c r="K72" s="64" t="str">
        <f>'Action Tracking'!V73</f>
        <v>Recommendations prepared for the Secretary-General's consideration</v>
      </c>
      <c r="L72" s="65">
        <f>'Action Tracking'!W73</f>
        <v>46111</v>
      </c>
      <c r="M72" s="66">
        <f>'Action Tracking'!X73</f>
        <v>0</v>
      </c>
      <c r="N72" s="74" t="str">
        <f>'Action Tracking'!Z73</f>
        <v>OK</v>
      </c>
    </row>
    <row r="73" spans="1:14" ht="42">
      <c r="A73" s="44">
        <f>'Action Tracking'!A74</f>
        <v>23</v>
      </c>
      <c r="B73" s="44" t="str">
        <f>'Action Tracking'!B74</f>
        <v>WP23: Disarmament</v>
      </c>
      <c r="C73" s="44">
        <f>'Action Tracking'!C74</f>
        <v>5</v>
      </c>
      <c r="D73" s="44" t="str">
        <f>'Action Tracking'!D74</f>
        <v xml:space="preserve">Integrate the UN Institute for Disarmament Research (UNIDIR) into the Office for Disarmament Affairs (ODA) </v>
      </c>
      <c r="E73" s="51" t="str">
        <f>'Action Tracking'!F74</f>
        <v>USG ODA</v>
      </c>
      <c r="F73" s="51" t="str">
        <f>'Action Tracking'!I74</f>
        <v>ODA</v>
      </c>
      <c r="G73" s="51">
        <f>'Action Tracking'!J74</f>
        <v>0</v>
      </c>
      <c r="H73" s="52">
        <f>'Action Tracking'!K74</f>
        <v>0</v>
      </c>
      <c r="I73" s="51">
        <f>'Action Tracking'!L74</f>
        <v>0</v>
      </c>
      <c r="J73" s="52">
        <f>'Action Tracking'!M74</f>
        <v>0</v>
      </c>
      <c r="K73" s="48" t="str">
        <f>'Action Tracking'!V74</f>
        <v>Forthcoming</v>
      </c>
      <c r="L73" s="49">
        <f>'Action Tracking'!W74</f>
        <v>0</v>
      </c>
      <c r="M73" s="50">
        <f>'Action Tracking'!X74</f>
        <v>0</v>
      </c>
      <c r="N73" s="59" t="str">
        <f>'Action Tracking'!Z74</f>
        <v>OK</v>
      </c>
    </row>
    <row r="74" spans="1:14" ht="43" thickBot="1">
      <c r="A74" s="61">
        <f>'Action Tracking'!A75</f>
        <v>23</v>
      </c>
      <c r="B74" s="61" t="str">
        <f>'Action Tracking'!B75</f>
        <v>WP23: Disarmament</v>
      </c>
      <c r="C74" s="61">
        <f>'Action Tracking'!C75</f>
        <v>53</v>
      </c>
      <c r="D74" s="61" t="str">
        <f>'Action Tracking'!D75</f>
        <v>Begin co-locating regional disarmament centres, with Regional Commissions serving as physical hosts</v>
      </c>
      <c r="E74" s="62" t="str">
        <f>'Action Tracking'!F75</f>
        <v>USG ODA</v>
      </c>
      <c r="F74" s="62" t="str">
        <f>'Action Tracking'!I75</f>
        <v>ODA</v>
      </c>
      <c r="G74" s="62">
        <f>'Action Tracking'!J75</f>
        <v>0</v>
      </c>
      <c r="H74" s="63">
        <f>'Action Tracking'!K75</f>
        <v>0</v>
      </c>
      <c r="I74" s="62">
        <f>'Action Tracking'!L75</f>
        <v>0</v>
      </c>
      <c r="J74" s="63">
        <f>'Action Tracking'!M75</f>
        <v>0</v>
      </c>
      <c r="K74" s="64" t="str">
        <f>'Action Tracking'!V75</f>
        <v>Forthcoming</v>
      </c>
      <c r="L74" s="65">
        <f>'Action Tracking'!W75</f>
        <v>0</v>
      </c>
      <c r="M74" s="66">
        <f>'Action Tracking'!X75</f>
        <v>0</v>
      </c>
      <c r="N74" s="74" t="str">
        <f>'Action Tracking'!Z75</f>
        <v>OK</v>
      </c>
    </row>
    <row r="75" spans="1:14" ht="56">
      <c r="A75" s="44">
        <f>'Action Tracking'!A76</f>
        <v>24</v>
      </c>
      <c r="B75" s="44" t="str">
        <f>'Action Tracking'!B76</f>
        <v>WP24: Drugs, crime, counterterrorism</v>
      </c>
      <c r="C75" s="44">
        <f>'Action Tracking'!C76</f>
        <v>4</v>
      </c>
      <c r="D75" s="44" t="str">
        <f>'Action Tracking'!D76</f>
        <v>Integrate the UN Interregional Crime and Justice Research Institute (UNICRI) into the UN Office on Drugs and Crime (UNODC)</v>
      </c>
      <c r="E75" s="51" t="str">
        <f>'Action Tracking'!F76</f>
        <v>USG UNODC; USG OCT</v>
      </c>
      <c r="F75" s="51" t="str">
        <f>'Action Tracking'!I76</f>
        <v>UNODC</v>
      </c>
      <c r="G75" s="51" t="str">
        <f>'Action Tracking'!J76</f>
        <v>Concept note developed</v>
      </c>
      <c r="H75" s="52">
        <f>'Action Tracking'!K76</f>
        <v>46112</v>
      </c>
      <c r="I75" s="51" t="str">
        <f>'Action Tracking'!L76</f>
        <v>ECOSOC resolution adopted</v>
      </c>
      <c r="J75" s="52">
        <f>'Action Tracking'!M76</f>
        <v>46233</v>
      </c>
      <c r="K75" s="48" t="str">
        <f>'Action Tracking'!V76</f>
        <v>Concept note to integrate the UN Interregional Crime and Justice Research Institute (UNICRI) into the UN Office on Drugs and Crime (UNODC) submitted to the Secretary-General</v>
      </c>
      <c r="L75" s="49">
        <f>'Action Tracking'!W76</f>
        <v>46112</v>
      </c>
      <c r="M75" s="50">
        <f>'Action Tracking'!X76</f>
        <v>0</v>
      </c>
      <c r="N75" s="44" t="str">
        <f>'Action Tracking'!Z76</f>
        <v>OK</v>
      </c>
    </row>
    <row r="76" spans="1:14" ht="84">
      <c r="A76" s="44">
        <f>'Action Tracking'!A77</f>
        <v>24</v>
      </c>
      <c r="B76" s="44" t="str">
        <f>'Action Tracking'!B77</f>
        <v>WP24: Drugs, crime, counterterrorism</v>
      </c>
      <c r="C76" s="44">
        <f>'Action Tracking'!C77</f>
        <v>12</v>
      </c>
      <c r="D76" s="44" t="str">
        <f>'Action Tracking'!D77</f>
        <v>Reinforce cooperation on counterterrorism and violent extremism, with clearer reporting lines, joint planning, and resource mobilization.</v>
      </c>
      <c r="E76" s="51" t="str">
        <f>'Action Tracking'!F77</f>
        <v>USG UNODC; USG OCT</v>
      </c>
      <c r="F76" s="51" t="str">
        <f>'Action Tracking'!I77</f>
        <v>UNOCT</v>
      </c>
      <c r="G76" s="51" t="str">
        <f>'Action Tracking'!J77</f>
        <v>UNOCT will provide a status update on consultations undertaken with the Global Counter-Terrorism Coordination Compact with a view to adopting by June a series of specific measures options to strengthen coordination and coherence</v>
      </c>
      <c r="H76" s="52">
        <f>'Action Tracking'!K77</f>
        <v>46052</v>
      </c>
      <c r="I76" s="51" t="str">
        <f>'Action Tracking'!L77</f>
        <v>Global Counter-Terrorism Coordination Compact Committee will have taken a decision and collectively committed to specific measures</v>
      </c>
      <c r="J76" s="52">
        <f>'Action Tracking'!M77</f>
        <v>46202</v>
      </c>
      <c r="K76" s="48" t="str">
        <f>'Action Tracking'!V77</f>
        <v xml:space="preserve">Specific measures to reinforce cooperation on counterterrorism and violent extremism proposed for consideration by the Global Counter-Terrorism Coordination Compact Committee </v>
      </c>
      <c r="L76" s="49">
        <f>'Action Tracking'!W77</f>
        <v>46202</v>
      </c>
      <c r="M76" s="50">
        <f>'Action Tracking'!X77</f>
        <v>0</v>
      </c>
      <c r="N76" s="44" t="str">
        <f>'Action Tracking'!Z77</f>
        <v>OK</v>
      </c>
    </row>
    <row r="77" spans="1:14" ht="57" thickBot="1">
      <c r="A77" s="61">
        <f>'Action Tracking'!A78</f>
        <v>24</v>
      </c>
      <c r="B77" s="61" t="str">
        <f>'Action Tracking'!B78</f>
        <v>WP24: Drugs, crime, counterterrorism</v>
      </c>
      <c r="C77" s="61">
        <f>'Action Tracking'!C78</f>
        <v>13</v>
      </c>
      <c r="D77" s="61" t="str">
        <f>'Action Tracking'!D78</f>
        <v>The Director overseeing the UNODC Terrorism Prevention Branch would also report to the Under-Secretary-General for Counter-Terrorism.</v>
      </c>
      <c r="E77" s="62" t="str">
        <f>'Action Tracking'!F78</f>
        <v>USG UNODC; USG OCT</v>
      </c>
      <c r="F77" s="62" t="str">
        <f>'Action Tracking'!I78</f>
        <v>UNOCT; UNODC</v>
      </c>
      <c r="G77" s="62" t="str">
        <f>'Action Tracking'!J78</f>
        <v>Action Members (principals) meet at least two times to discuss ideas</v>
      </c>
      <c r="H77" s="63">
        <f>'Action Tracking'!K78</f>
        <v>46052</v>
      </c>
      <c r="I77" s="62" t="str">
        <f>'Action Tracking'!L78</f>
        <v>The Director overseeing the UNODC Terrorism Prevention Branch would also report to the Under-Secretary-General for Counter-Terrorism</v>
      </c>
      <c r="J77" s="63">
        <f>'Action Tracking'!M78</f>
        <v>46111</v>
      </c>
      <c r="K77" s="64" t="str">
        <f>'Action Tracking'!V78</f>
        <v>Reporting arrangements for the Director overseeing the UNODC Terrorism Prevention Branch adjusted to include the Under-Secretary-General for Counter-Terrorism</v>
      </c>
      <c r="L77" s="65">
        <f>'Action Tracking'!W78</f>
        <v>46111</v>
      </c>
      <c r="M77" s="66">
        <f>'Action Tracking'!X78</f>
        <v>0</v>
      </c>
      <c r="N77" s="61" t="str">
        <f>'Action Tracking'!Z78</f>
        <v>OK</v>
      </c>
    </row>
    <row r="78" spans="1:14" ht="71" thickBot="1">
      <c r="A78" s="67">
        <f>'Action Tracking'!A79</f>
        <v>25</v>
      </c>
      <c r="B78" s="67" t="str">
        <f>'Action Tracking'!B79</f>
        <v>WP25: UNAIDS</v>
      </c>
      <c r="C78" s="67">
        <f>'Action Tracking'!C79</f>
        <v>29</v>
      </c>
      <c r="D78" s="67" t="str">
        <f>'Action Tracking'!D79</f>
        <v>Sunset UNAIDS; mainstreaming capacity and expertise into relevant entities of the UN development system</v>
      </c>
      <c r="E78" s="68" t="str">
        <f>'Action Tracking'!F79</f>
        <v>DSG; ED UNAIDS</v>
      </c>
      <c r="F78" s="68" t="str">
        <f>'Action Tracking'!I79</f>
        <v>UNAIDS</v>
      </c>
      <c r="G78" s="68" t="str">
        <f>'Action Tracking'!J79</f>
        <v xml:space="preserve">UNAIDS Board agrees process for delivering a final plan for full transformation of UNAIDS that is aligned with UN80;  AIDS Strategy adopted
</v>
      </c>
      <c r="H78" s="69">
        <f>'Action Tracking'!K79</f>
        <v>46008</v>
      </c>
      <c r="I78" s="68" t="str">
        <f>'Action Tracking'!L79</f>
        <v>UNAIDS Board approves final transformation plan</v>
      </c>
      <c r="J78" s="69">
        <f>'Action Tracking'!M79</f>
        <v>46325</v>
      </c>
      <c r="K78" s="70" t="str">
        <f>'Action Tracking'!V79</f>
        <v>Terms of reference for a Working Group to develop a plan on the further transition and integration of UNAIDS into the UN system and beyond, in coherence with the UN80 Initiative, finalized</v>
      </c>
      <c r="L78" s="71">
        <f>'Action Tracking'!W79</f>
        <v>46053</v>
      </c>
      <c r="M78" s="72">
        <f>'Action Tracking'!X79</f>
        <v>0</v>
      </c>
      <c r="N78" s="67" t="str">
        <f>'Action Tracking'!Z79</f>
        <v>OK</v>
      </c>
    </row>
    <row r="79" spans="1:14" ht="43" thickBot="1">
      <c r="A79" s="67">
        <f>'Action Tracking'!A80</f>
        <v>26</v>
      </c>
      <c r="B79" s="67" t="str">
        <f>'Action Tracking'!B80</f>
        <v>WP26: Other merger review</v>
      </c>
      <c r="C79" s="67">
        <f>'Action Tracking'!C80</f>
        <v>32</v>
      </c>
      <c r="D79" s="67" t="str">
        <f>'Action Tracking'!D80</f>
        <v>Provide support for further analysis on other potential mergers Member States may wish to explore</v>
      </c>
      <c r="E79" s="68" t="str">
        <f>'Action Tracking'!F80</f>
        <v>SG</v>
      </c>
      <c r="F79" s="68" t="str">
        <f>'Action Tracking'!I80</f>
        <v>N/A</v>
      </c>
      <c r="G79" s="68" t="str">
        <f>'Action Tracking'!J80</f>
        <v>(Pending proposals)</v>
      </c>
      <c r="H79" s="69">
        <f>'Action Tracking'!K80</f>
        <v>0</v>
      </c>
      <c r="I79" s="68" t="str">
        <f>'Action Tracking'!L80</f>
        <v>(Pending proposals)</v>
      </c>
      <c r="J79" s="69">
        <f>'Action Tracking'!M80</f>
        <v>0</v>
      </c>
      <c r="K79" s="70" t="str">
        <f>'Action Tracking'!V80</f>
        <v>Forthcoming</v>
      </c>
      <c r="L79" s="71">
        <f>'Action Tracking'!W80</f>
        <v>0</v>
      </c>
      <c r="M79" s="72">
        <f>'Action Tracking'!X80</f>
        <v>0</v>
      </c>
      <c r="N79" s="73" t="str">
        <f>'Action Tracking'!Z80</f>
        <v>OK</v>
      </c>
    </row>
    <row r="80" spans="1:14" ht="71" thickBot="1">
      <c r="A80" s="67">
        <f>'Action Tracking'!A81</f>
        <v>27</v>
      </c>
      <c r="B80" s="67" t="str">
        <f>'Action Tracking'!B81</f>
        <v>WP27: Environment</v>
      </c>
      <c r="C80" s="67">
        <f>'Action Tracking'!C81</f>
        <v>35</v>
      </c>
      <c r="D80" s="67" t="str">
        <f>'Action Tracking'!D81</f>
        <v>Undertake a thorough assessment of current arrangements and make proposals on possible structural changes and programme realignments on environmental issues</v>
      </c>
      <c r="E80" s="68" t="str">
        <f>'Action Tracking'!F81</f>
        <v>USG UNEP; ES UNFCCC</v>
      </c>
      <c r="F80" s="68" t="str">
        <f>'Action Tracking'!I81</f>
        <v>UNDP; DPPA; UNCTAD; IFAD; OHCHR; UNEP; UNFCCC</v>
      </c>
      <c r="G80" s="68" t="str">
        <f>'Action Tracking'!J81</f>
        <v>Terms of reference of the assessment finalized, including scope, methodology, timeline and specific outcomes</v>
      </c>
      <c r="H80" s="69">
        <f>'Action Tracking'!K81</f>
        <v>46052</v>
      </c>
      <c r="I80" s="68" t="str">
        <f>'Action Tracking'!L81</f>
        <v>Assessment of current arrangements and proposals on possible structural changes and programme realignments on environmental issues</v>
      </c>
      <c r="J80" s="69">
        <f>'Action Tracking'!M81</f>
        <v>46282</v>
      </c>
      <c r="K80" s="70" t="str">
        <f>'Action Tracking'!V81</f>
        <v>Assessment of current arrangements and proposals on possible structural changes and programme realignments on environmental issues finalized for the Secretary-General’s consideration</v>
      </c>
      <c r="L80" s="71">
        <f>'Action Tracking'!W81</f>
        <v>46282</v>
      </c>
      <c r="M80" s="72">
        <f>'Action Tracking'!X81</f>
        <v>0</v>
      </c>
      <c r="N80" s="67" t="str">
        <f>'Action Tracking'!Z81</f>
        <v>OK</v>
      </c>
    </row>
    <row r="81" spans="1:14" ht="70">
      <c r="A81" s="44">
        <f>'Action Tracking'!A82</f>
        <v>28</v>
      </c>
      <c r="B81" s="44" t="str">
        <f>'Action Tracking'!B82</f>
        <v>WP28: Other UN Secretariat development realignments</v>
      </c>
      <c r="C81" s="44">
        <f>'Action Tracking'!C82</f>
        <v>30</v>
      </c>
      <c r="D81" s="44" t="str">
        <f>'Action Tracking'!D82</f>
        <v>Realign macroeconomic analysis capacities across DESA, UNCTAD, and the Regional Commissions to create a unified "single entry point" for Member States, anchored in joint mechanisms</v>
      </c>
      <c r="E81" s="51" t="str">
        <f>'Action Tracking'!F82</f>
        <v>USG DESA; ES ECA; SG UNCTAD</v>
      </c>
      <c r="F81" s="51" t="str">
        <f>'Action Tracking'!I82</f>
        <v/>
      </c>
      <c r="G81" s="51">
        <f>'Action Tracking'!J82</f>
        <v>0</v>
      </c>
      <c r="H81" s="52">
        <f>'Action Tracking'!K82</f>
        <v>0</v>
      </c>
      <c r="I81" s="51">
        <f>'Action Tracking'!L82</f>
        <v>0</v>
      </c>
      <c r="J81" s="52">
        <f>'Action Tracking'!M82</f>
        <v>0</v>
      </c>
      <c r="K81" s="48" t="str">
        <f>'Action Tracking'!V82</f>
        <v>Forthcoming</v>
      </c>
      <c r="L81" s="49">
        <f>'Action Tracking'!W82</f>
        <v>0</v>
      </c>
      <c r="M81" s="50">
        <f>'Action Tracking'!X82</f>
        <v>0</v>
      </c>
      <c r="N81" s="59" t="str">
        <f>'Action Tracking'!Z82</f>
        <v>OK</v>
      </c>
    </row>
    <row r="82" spans="1:14" ht="57" thickBot="1">
      <c r="A82" s="61">
        <f>'Action Tracking'!A83</f>
        <v>28</v>
      </c>
      <c r="B82" s="61" t="str">
        <f>'Action Tracking'!B83</f>
        <v>WP28: Other UN Secretariat development realignments</v>
      </c>
      <c r="C82" s="61">
        <f>'Action Tracking'!C83</f>
        <v>31</v>
      </c>
      <c r="D82" s="61" t="str">
        <f>'Action Tracking'!D83</f>
        <v>Realign UN Secretariat support for LDCs, LLDCs and SIDS across DESA, UNCTAD and OHRLLS</v>
      </c>
      <c r="E82" s="62" t="str">
        <f>'Action Tracking'!F83</f>
        <v>USG DESA; ES ECA; SG UNCTAD</v>
      </c>
      <c r="F82" s="62" t="str">
        <f>'Action Tracking'!I83</f>
        <v/>
      </c>
      <c r="G82" s="62">
        <f>'Action Tracking'!J83</f>
        <v>0</v>
      </c>
      <c r="H82" s="63">
        <f>'Action Tracking'!K83</f>
        <v>0</v>
      </c>
      <c r="I82" s="62">
        <f>'Action Tracking'!L83</f>
        <v>0</v>
      </c>
      <c r="J82" s="63">
        <f>'Action Tracking'!M83</f>
        <v>0</v>
      </c>
      <c r="K82" s="64" t="str">
        <f>'Action Tracking'!V83</f>
        <v>Forthcoming</v>
      </c>
      <c r="L82" s="65">
        <f>'Action Tracking'!W83</f>
        <v>0</v>
      </c>
      <c r="M82" s="66">
        <f>'Action Tracking'!X83</f>
        <v>0</v>
      </c>
      <c r="N82" s="74" t="str">
        <f>'Action Tracking'!Z83</f>
        <v>OK</v>
      </c>
    </row>
    <row r="83" spans="1:14" ht="56">
      <c r="A83" s="44">
        <f>'Action Tracking'!A84</f>
        <v>29</v>
      </c>
      <c r="B83" s="44" t="str">
        <f>'Action Tracking'!B84</f>
        <v>WP29: Mandate registries and tools</v>
      </c>
      <c r="C83" s="44">
        <f>'Action Tracking'!C84</f>
        <v>79</v>
      </c>
      <c r="D83" s="44" t="str">
        <f>'Action Tracking'!D84</f>
        <v>For the UN Secretariat, refine mandates.un.org to serve as sustainable registry; Other entities to build out similar registries for their mandating bodies</v>
      </c>
      <c r="E83" s="51" t="str">
        <f>'Action Tracking'!F84</f>
        <v>USG Policy</v>
      </c>
      <c r="F83" s="51" t="str">
        <f>'Action Tracking'!I84</f>
        <v>EOSG (USG Policy)</v>
      </c>
      <c r="G83" s="51" t="str">
        <f>'Action Tracking'!J84</f>
        <v>mandates.un.org updated with data for the 2027 Programme Budget and 2026/27 Peacekeeping Budgets and a proposal for sustainability finalized</v>
      </c>
      <c r="H83" s="52">
        <f>'Action Tracking'!K84</f>
        <v>46096</v>
      </c>
      <c r="I83" s="51" t="str">
        <f>'Action Tracking'!L84</f>
        <v>mandates.un.org includes full text for 80 percent of mandate sources and links to mandate registries for at least 10 non-UN Secretariat entities</v>
      </c>
      <c r="J83" s="52">
        <f>'Action Tracking'!M84</f>
        <v>46280</v>
      </c>
      <c r="K83" s="48" t="str">
        <f>'Action Tracking'!V84</f>
        <v>mandates.un.org updated with data for the proposed 2027 Programme Budget and proposed 2026/27 Peacekeeping Budgets</v>
      </c>
      <c r="L83" s="49">
        <f>'Action Tracking'!W84</f>
        <v>46096</v>
      </c>
      <c r="M83" s="50">
        <f>'Action Tracking'!X84</f>
        <v>0</v>
      </c>
      <c r="N83" s="44" t="str">
        <f>'Action Tracking'!Z84</f>
        <v>OK</v>
      </c>
    </row>
    <row r="84" spans="1:14" ht="85" thickBot="1">
      <c r="A84" s="61">
        <f>'Action Tracking'!A85</f>
        <v>29</v>
      </c>
      <c r="B84" s="61" t="str">
        <f>'Action Tracking'!B85</f>
        <v>WP29: Mandate registries and tools</v>
      </c>
      <c r="C84" s="61">
        <f>'Action Tracking'!C85</f>
        <v>82</v>
      </c>
      <c r="D84" s="61" t="str">
        <f>'Action Tracking'!D85</f>
        <v>Develop tools to assist in research for mandate creation</v>
      </c>
      <c r="E84" s="62" t="str">
        <f>'Action Tracking'!F85</f>
        <v>USG Policy</v>
      </c>
      <c r="F84" s="62" t="str">
        <f>'Action Tracking'!I85</f>
        <v>EOSG (USG Policy)</v>
      </c>
      <c r="G84" s="62" t="str">
        <f>'Action Tracking'!J85</f>
        <v>Potential approaches consulted with stakeholders via technical briefings and surveys, systemchart.un.org launched, and open.un.org updated</v>
      </c>
      <c r="H84" s="63">
        <f>'Action Tracking'!K85</f>
        <v>46096</v>
      </c>
      <c r="I84" s="62" t="str">
        <f>'Action Tracking'!L85</f>
        <v>Improved portfolio of tools to support Member States across the mandate lifecycle available, including to provide consolidated, timely, and comparable information on mandates, resources, activities, and results across the UN system</v>
      </c>
      <c r="J84" s="63">
        <f>'Action Tracking'!M85</f>
        <v>46280</v>
      </c>
      <c r="K84" s="64" t="str">
        <f>'Action Tracking'!V85</f>
        <v xml:space="preserve">First set of digital tools launched and technical briefings for delegates set up </v>
      </c>
      <c r="L84" s="65">
        <f>'Action Tracking'!W85</f>
        <v>46096</v>
      </c>
      <c r="M84" s="66">
        <f>'Action Tracking'!X85</f>
        <v>0</v>
      </c>
      <c r="N84" s="61" t="str">
        <f>'Action Tracking'!Z85</f>
        <v>OK</v>
      </c>
    </row>
    <row r="85" spans="1:14" ht="42">
      <c r="A85" s="44">
        <f>'Action Tracking'!A86</f>
        <v>30</v>
      </c>
      <c r="B85" s="44" t="str">
        <f>'Action Tracking'!B86</f>
        <v>WP30: SG reports</v>
      </c>
      <c r="C85" s="44">
        <f>'Action Tracking'!C86</f>
        <v>84</v>
      </c>
      <c r="D85" s="44" t="str">
        <f>'Action Tracking'!D86</f>
        <v>Assess trends in word-limit compliance and develop an action plan for improvements (as part of item 86)</v>
      </c>
      <c r="E85" s="51" t="str">
        <f>'Action Tracking'!F86</f>
        <v>CDC</v>
      </c>
      <c r="F85" s="51" t="str">
        <f>'Action Tracking'!I86</f>
        <v>DGACM; DESA; DPPA; DPO; OHCHR; EOSG (USG Policy)</v>
      </c>
      <c r="G85" s="51" t="str">
        <f>'Action Tracking'!J86</f>
        <v>Guidance on word limits and compliance issued</v>
      </c>
      <c r="H85" s="52">
        <f>'Action Tracking'!K86</f>
        <v>46080</v>
      </c>
      <c r="I85" s="51" t="str">
        <f>'Action Tracking'!L86</f>
        <v>Guidance on word limits and compliance updated, based on outcomes of UN80 Initiative workstream 2</v>
      </c>
      <c r="J85" s="52">
        <f>'Action Tracking'!M86</f>
        <v>46141</v>
      </c>
      <c r="K85" s="48" t="str">
        <f>'Action Tracking'!V86</f>
        <v>Assessment and potential relevant actions finalized for the Secretary-General's consideration</v>
      </c>
      <c r="L85" s="49">
        <f>'Action Tracking'!W86</f>
        <v>46080</v>
      </c>
      <c r="M85" s="50">
        <f>'Action Tracking'!X86</f>
        <v>0</v>
      </c>
      <c r="N85" s="44" t="str">
        <f>'Action Tracking'!Z86</f>
        <v>OK</v>
      </c>
    </row>
    <row r="86" spans="1:14" ht="56">
      <c r="A86" s="44">
        <f>'Action Tracking'!A87</f>
        <v>30</v>
      </c>
      <c r="B86" s="44" t="str">
        <f>'Action Tracking'!B87</f>
        <v>WP30: SG reports</v>
      </c>
      <c r="C86" s="44">
        <f>'Action Tracking'!C87</f>
        <v>85</v>
      </c>
      <c r="D86" s="44" t="str">
        <f>'Action Tracking'!D87</f>
        <v>Assess trends and patterns in report overlap and fragmentation, and develop an action plan for improvement (as part of item 86)</v>
      </c>
      <c r="E86" s="51" t="str">
        <f>'Action Tracking'!F87</f>
        <v>CDC</v>
      </c>
      <c r="F86" s="51" t="str">
        <f>'Action Tracking'!I87</f>
        <v>DGACM; DESA; DPPA; DPO; OHCHR; EOSG (USG Policy)</v>
      </c>
      <c r="G86" s="51" t="str">
        <f>'Action Tracking'!J87</f>
        <v>A survey to identify reports/notes that could potentially be consolidated or have their reporting frequency adjusted conducted</v>
      </c>
      <c r="H86" s="52">
        <f>'Action Tracking'!K87</f>
        <v>46052</v>
      </c>
      <c r="I86" s="51" t="str">
        <f>'Action Tracking'!L87</f>
        <v>Building on the outcome of workstream 2, first action plan implemented to reduce/improve overlap, fragmentation and periodicity of reporting</v>
      </c>
      <c r="J86" s="52">
        <f>'Action Tracking'!M87</f>
        <v>46202</v>
      </c>
      <c r="K86" s="48" t="str">
        <f>'Action Tracking'!V87</f>
        <v>Assessment and potential actions finalized for the Secretary-General's consideration</v>
      </c>
      <c r="L86" s="49">
        <f>'Action Tracking'!W87</f>
        <v>46082</v>
      </c>
      <c r="M86" s="50">
        <f>'Action Tracking'!X87</f>
        <v>0</v>
      </c>
      <c r="N86" s="44" t="str">
        <f>'Action Tracking'!Z87</f>
        <v>OK</v>
      </c>
    </row>
    <row r="87" spans="1:14" ht="56">
      <c r="A87" s="44">
        <f>'Action Tracking'!A88</f>
        <v>30</v>
      </c>
      <c r="B87" s="44" t="str">
        <f>'Action Tracking'!B88</f>
        <v>WP30: SG reports</v>
      </c>
      <c r="C87" s="44">
        <f>'Action Tracking'!C88</f>
        <v>86</v>
      </c>
      <c r="D87" s="44" t="str">
        <f>'Action Tracking'!D88</f>
        <v>Constitute a cross-departmental working group to develop an action plan for improvements in reporting format options for different types of information requests</v>
      </c>
      <c r="E87" s="51" t="str">
        <f>'Action Tracking'!F88</f>
        <v>CDC</v>
      </c>
      <c r="F87" s="51" t="str">
        <f>'Action Tracking'!I88</f>
        <v>DGACM; DESA; DPPA; DPO; OHCHR; EOSG (USG Policy)</v>
      </c>
      <c r="G87" s="51" t="str">
        <f>'Action Tracking'!J88</f>
        <v>Interim guidelines on reporting format options for different types of information requests endorsed</v>
      </c>
      <c r="H87" s="52">
        <f>'Action Tracking'!K88</f>
        <v>46142</v>
      </c>
      <c r="I87" s="51" t="str">
        <f>'Action Tracking'!L88</f>
        <v>Full guidelines on reporting format options for different types of information requests issued, in line with the outcome of UN80 Initiative workstream 2</v>
      </c>
      <c r="J87" s="52">
        <f>'Action Tracking'!M88</f>
        <v>46280</v>
      </c>
      <c r="K87" s="48" t="str">
        <f>'Action Tracking'!V88</f>
        <v>Draft action plan prepared for the Secretary-General's consideration</v>
      </c>
      <c r="L87" s="49">
        <f>'Action Tracking'!W88</f>
        <v>46142</v>
      </c>
      <c r="M87" s="50">
        <f>'Action Tracking'!X88</f>
        <v>0</v>
      </c>
      <c r="N87" s="44" t="str">
        <f>'Action Tracking'!Z88</f>
        <v>OK</v>
      </c>
    </row>
    <row r="88" spans="1:14" ht="43" thickBot="1">
      <c r="A88" s="61">
        <f>'Action Tracking'!A89</f>
        <v>30</v>
      </c>
      <c r="B88" s="61" t="str">
        <f>'Action Tracking'!B89</f>
        <v>WP30: SG reports</v>
      </c>
      <c r="C88" s="61">
        <f>'Action Tracking'!C89</f>
        <v>87</v>
      </c>
      <c r="D88" s="61" t="str">
        <f>'Action Tracking'!D89</f>
        <v>Display per-report download counts on UN ODS and UN Digital Library pages for each document</v>
      </c>
      <c r="E88" s="62" t="str">
        <f>'Action Tracking'!F89</f>
        <v>CDC</v>
      </c>
      <c r="F88" s="62" t="str">
        <f>'Action Tracking'!I89</f>
        <v>DGACM; DGC; OICT; EOSG (USG Policy)</v>
      </c>
      <c r="G88" s="62" t="str">
        <f>'Action Tracking'!J89</f>
        <v>Technical feasibility of download counts on ODS and Digital Library confirmed</v>
      </c>
      <c r="H88" s="63">
        <f>'Action Tracking'!K89</f>
        <v>46052</v>
      </c>
      <c r="I88" s="62" t="str">
        <f>'Action Tracking'!L89</f>
        <v>Depending on feasibility, download count solution implemented</v>
      </c>
      <c r="J88" s="63">
        <f>'Action Tracking'!M89</f>
        <v>46112</v>
      </c>
      <c r="K88" s="64" t="str">
        <f>'Action Tracking'!V89</f>
        <v>Download count solution implemented</v>
      </c>
      <c r="L88" s="65">
        <f>'Action Tracking'!W89</f>
        <v>46112</v>
      </c>
      <c r="M88" s="66">
        <f>'Action Tracking'!X89</f>
        <v>0</v>
      </c>
      <c r="N88" s="61" t="str">
        <f>'Action Tracking'!Z89</f>
        <v>OK</v>
      </c>
    </row>
    <row r="89" spans="1:14" ht="70">
      <c r="A89" s="44">
        <f>'Action Tracking'!A90</f>
        <v>31</v>
      </c>
      <c r="B89" s="44" t="str">
        <f>'Action Tracking'!B90</f>
        <v>WP31: UN Secretariat efficiencies and improvement</v>
      </c>
      <c r="C89" s="44">
        <f>'Action Tracking'!C90</f>
        <v>94</v>
      </c>
      <c r="D89" s="44" t="str">
        <f>'Action Tracking'!D90</f>
        <v>Implement residual actions from Phase I of the Working Group on Efficiencies, as per Rev. estimates for programme budget 2026 and support account for 25/26, not included in or relevant for WP#14</v>
      </c>
      <c r="E89" s="51" t="str">
        <f>'Action Tracking'!F90</f>
        <v>USG DMSPC; USG DOS</v>
      </c>
      <c r="F89" s="51" t="str">
        <f>'Action Tracking'!I90</f>
        <v>DOS; DMSPC</v>
      </c>
      <c r="G89" s="51" t="str">
        <f>'Action Tracking'!J90</f>
        <v>CAP established with initial operating capacity and all Executive Office personnel reporting to DOS</v>
      </c>
      <c r="H89" s="52">
        <f>'Action Tracking'!K90</f>
        <v>46053</v>
      </c>
      <c r="I89" s="51" t="str">
        <f>'Action Tracking'!L90</f>
        <v>CAP fully operational</v>
      </c>
      <c r="J89" s="52">
        <f>'Action Tracking'!M90</f>
        <v>46234</v>
      </c>
      <c r="K89" s="48" t="str">
        <f>'Action Tracking'!V90</f>
        <v>No longer relevant</v>
      </c>
      <c r="L89" s="49">
        <f>'Action Tracking'!W90</f>
        <v>0</v>
      </c>
      <c r="M89" s="50" t="str">
        <f>'Action Tracking'!X90</f>
        <v>Decision taken, as per GA resolution 80/242</v>
      </c>
      <c r="N89" s="59" t="str">
        <f>'Action Tracking'!Z90</f>
        <v>OK</v>
      </c>
    </row>
    <row r="90" spans="1:14" ht="70">
      <c r="A90" s="44">
        <f>'Action Tracking'!A91</f>
        <v>31</v>
      </c>
      <c r="B90" s="44" t="str">
        <f>'Action Tracking'!B91</f>
        <v>WP31: UN Secretariat efficiencies and improvement</v>
      </c>
      <c r="C90" s="44">
        <f>'Action Tracking'!C91</f>
        <v>94</v>
      </c>
      <c r="D90" s="44" t="str">
        <f>'Action Tracking'!D91</f>
        <v>Implement residual actions from Phase I of the Working Group on Efficiencies, as per Rev. estimates for programme budget 2026 and support account for 25/26, not included in or relevant for WP#14</v>
      </c>
      <c r="E90" s="51" t="str">
        <f>'Action Tracking'!F91</f>
        <v>USG DMSPC; USG DOS</v>
      </c>
      <c r="F90" s="51" t="str">
        <f>'Action Tracking'!I91</f>
        <v>DOS; DMSPC</v>
      </c>
      <c r="G90" s="51" t="str">
        <f>'Action Tracking'!J91</f>
        <v>Core payroll functions for five existing payroll offices consolidated into the proposed Global Payroll Centres</v>
      </c>
      <c r="H90" s="52">
        <f>'Action Tracking'!K91</f>
        <v>46053</v>
      </c>
      <c r="I90" s="51" t="str">
        <f>'Action Tracking'!L91</f>
        <v>Global Payroll Centre fully operational in New York, Nairobi and Entebbe</v>
      </c>
      <c r="J90" s="52">
        <f>'Action Tracking'!M91</f>
        <v>46326</v>
      </c>
      <c r="K90" s="48" t="str">
        <f>'Action Tracking'!V91</f>
        <v>No longer relevant</v>
      </c>
      <c r="L90" s="49">
        <f>'Action Tracking'!W91</f>
        <v>0</v>
      </c>
      <c r="M90" s="50" t="str">
        <f>'Action Tracking'!X91</f>
        <v>Decision taken, as per GA resolution 80/242</v>
      </c>
      <c r="N90" s="59" t="str">
        <f>'Action Tracking'!Z91</f>
        <v>OK</v>
      </c>
    </row>
    <row r="91" spans="1:14" ht="56">
      <c r="A91" s="44">
        <f>'Action Tracking'!A92</f>
        <v>31</v>
      </c>
      <c r="B91" s="44" t="str">
        <f>'Action Tracking'!B92</f>
        <v>WP31: UN Secretariat efficiencies and improvement</v>
      </c>
      <c r="C91" s="44">
        <f>'Action Tracking'!C92</f>
        <v>95</v>
      </c>
      <c r="D91" s="44" t="str">
        <f>'Action Tracking'!D92</f>
        <v>Implement residual actions from Phase II of the Working Group on Efficiencies, not to be included in or relevant for WP#14</v>
      </c>
      <c r="E91" s="51" t="str">
        <f>'Action Tracking'!F92</f>
        <v>USG DMSPC; USG DOS</v>
      </c>
      <c r="F91" s="51" t="str">
        <f>'Action Tracking'!I92</f>
        <v>DOS; DMSPC</v>
      </c>
      <c r="G91" s="51" t="str">
        <f>'Action Tracking'!J92</f>
        <v>Phase II CAPs endorsed for inclusion in RB 2027</v>
      </c>
      <c r="H91" s="52">
        <f>'Action Tracking'!K92</f>
        <v>46053</v>
      </c>
      <c r="I91" s="51" t="str">
        <f>'Action Tracking'!L92</f>
        <v>Project Implementation Teams established in each location to develop detailed CAP operating models, governance and change management mechanisms</v>
      </c>
      <c r="J91" s="52">
        <f>'Action Tracking'!M92</f>
        <v>46294</v>
      </c>
      <c r="K91" s="48" t="str">
        <f>'Action Tracking'!V92</f>
        <v>Proposal prepared for the Secretary-General's consideration</v>
      </c>
      <c r="L91" s="49">
        <f>'Action Tracking'!W92</f>
        <v>46053.208333333336</v>
      </c>
      <c r="M91" s="50">
        <f>'Action Tracking'!X92</f>
        <v>0</v>
      </c>
      <c r="N91" s="59" t="str">
        <f>'Action Tracking'!Z92</f>
        <v>OK</v>
      </c>
    </row>
    <row r="92" spans="1:14" ht="56">
      <c r="A92" s="44">
        <f>'Action Tracking'!A93</f>
        <v>31</v>
      </c>
      <c r="B92" s="44" t="str">
        <f>'Action Tracking'!B93</f>
        <v>WP31: UN Secretariat efficiencies and improvement</v>
      </c>
      <c r="C92" s="44">
        <f>'Action Tracking'!C93</f>
        <v>95</v>
      </c>
      <c r="D92" s="44" t="str">
        <f>'Action Tracking'!D93</f>
        <v>Implement residual actions from Phase II of the Working Group on Efficiencies, not to be included in or relevant for WP#14</v>
      </c>
      <c r="E92" s="51" t="str">
        <f>'Action Tracking'!F93</f>
        <v>USG DMSPC; USG DOS</v>
      </c>
      <c r="F92" s="51" t="str">
        <f>'Action Tracking'!I93</f>
        <v>DGACM; DOS; DMSPC</v>
      </c>
      <c r="G92" s="51" t="str">
        <f>'Action Tracking'!J93</f>
        <v>31 December 2025: Complete analysis of survey on scope of contractual translation services to determine potential management mechanisms and their viability</v>
      </c>
      <c r="H92" s="52">
        <f>'Action Tracking'!K93</f>
        <v>46022</v>
      </c>
      <c r="I92" s="51" t="str">
        <f>'Action Tracking'!L93</f>
        <v xml:space="preserve">Determination of the final milestone is subject to the outcome of milestone 1 and analysis of survey
</v>
      </c>
      <c r="J92" s="52">
        <f>'Action Tracking'!M93</f>
        <v>0</v>
      </c>
      <c r="K92" s="48" t="str">
        <f>'Action Tracking'!V93</f>
        <v>Proposals finalized for management consideration</v>
      </c>
      <c r="L92" s="49">
        <f>'Action Tracking'!W93</f>
        <v>46054</v>
      </c>
      <c r="M92" s="50">
        <f>'Action Tracking'!X93</f>
        <v>0</v>
      </c>
      <c r="N92" s="44" t="str">
        <f>'Action Tracking'!Z93</f>
        <v>OK</v>
      </c>
    </row>
    <row r="93" spans="1:14" ht="70">
      <c r="A93" s="44">
        <f>'Action Tracking'!A94</f>
        <v>31</v>
      </c>
      <c r="B93" s="44" t="str">
        <f>'Action Tracking'!B94</f>
        <v>WP31: UN Secretariat efficiencies and improvement</v>
      </c>
      <c r="C93" s="44">
        <f>'Action Tracking'!C94</f>
        <v>95</v>
      </c>
      <c r="D93" s="44" t="str">
        <f>'Action Tracking'!D94</f>
        <v>Implement residual actions from Phase II of the Working Group on Efficiencies, not to be included in or relevant for WP#14</v>
      </c>
      <c r="E93" s="51" t="str">
        <f>'Action Tracking'!F94</f>
        <v>USG DMSPC; USG DOS</v>
      </c>
      <c r="F93" s="51" t="str">
        <f>'Action Tracking'!I94</f>
        <v>OICT; DMSPC; DOS</v>
      </c>
      <c r="G93" s="51" t="str">
        <f>'Action Tracking'!J94</f>
        <v>Pilot begins of Data Center Consolidation initiative; Pending approval of Phase I of the Secretariat ICT Consolidation and Digital Hubs: establishment of first Digital hub in Valencia</v>
      </c>
      <c r="H93" s="52">
        <f>'Action Tracking'!K94</f>
        <v>46053</v>
      </c>
      <c r="I93" s="51" t="str">
        <f>'Action Tracking'!L94</f>
        <v>Pilot concluded, lessons learned exercise completed, Phase I plan created</v>
      </c>
      <c r="J93" s="52">
        <f>'Action Tracking'!M94</f>
        <v>46294</v>
      </c>
      <c r="K93" s="48" t="str">
        <f>'Action Tracking'!V94</f>
        <v>Proposals finalized for management consideration</v>
      </c>
      <c r="L93" s="49">
        <f>'Action Tracking'!W94</f>
        <v>46053</v>
      </c>
      <c r="M93" s="50">
        <f>'Action Tracking'!X94</f>
        <v>0</v>
      </c>
      <c r="N93" s="44" t="str">
        <f>'Action Tracking'!Z94</f>
        <v>OK</v>
      </c>
    </row>
    <row r="94" spans="1:14" ht="56">
      <c r="A94" s="44">
        <f>'Action Tracking'!A95</f>
        <v>31</v>
      </c>
      <c r="B94" s="44" t="str">
        <f>'Action Tracking'!B95</f>
        <v>WP31: UN Secretariat efficiencies and improvement</v>
      </c>
      <c r="C94" s="44">
        <f>'Action Tracking'!C95</f>
        <v>95</v>
      </c>
      <c r="D94" s="44" t="str">
        <f>'Action Tracking'!D95</f>
        <v>Implement residual actions from Phase II of the Working Group on Efficiencies, not to be included in or relevant for WP#14</v>
      </c>
      <c r="E94" s="51" t="str">
        <f>'Action Tracking'!F95</f>
        <v>USG DMSPC; USG DOS</v>
      </c>
      <c r="F94" s="51" t="str">
        <f>'Action Tracking'!I95</f>
        <v>RSCE; DMSPC; DOS</v>
      </c>
      <c r="G94" s="51" t="str">
        <f>'Action Tracking'!J95</f>
        <v>31 December 2025: Phase one of the consolidation review completed</v>
      </c>
      <c r="H94" s="52">
        <f>'Action Tracking'!K95</f>
        <v>46021</v>
      </c>
      <c r="I94" s="51" t="str">
        <f>'Action Tracking'!L95</f>
        <v>Subject to Steering Group endorsement and the approval of business case. Implementation not expected before December 2026</v>
      </c>
      <c r="J94" s="52">
        <f>'Action Tracking'!M95</f>
        <v>46386</v>
      </c>
      <c r="K94" s="48" t="str">
        <f>'Action Tracking'!V95</f>
        <v>Proposals finalized for management consideration</v>
      </c>
      <c r="L94" s="49">
        <f>'Action Tracking'!W95</f>
        <v>46052</v>
      </c>
      <c r="M94" s="50">
        <f>'Action Tracking'!X95</f>
        <v>0</v>
      </c>
      <c r="N94" s="44" t="str">
        <f>'Action Tracking'!Z95</f>
        <v>OK</v>
      </c>
    </row>
    <row r="95" spans="1:14" ht="154">
      <c r="A95" s="44">
        <f>'Action Tracking'!A96</f>
        <v>31</v>
      </c>
      <c r="B95" s="44" t="str">
        <f>'Action Tracking'!B96</f>
        <v>WP31: UN Secretariat efficiencies and improvement</v>
      </c>
      <c r="C95" s="44">
        <f>'Action Tracking'!C96</f>
        <v>95</v>
      </c>
      <c r="D95" s="44" t="str">
        <f>'Action Tracking'!D96</f>
        <v>Implement residual actions from Phase II of the Working Group on Efficiencies, not to be included in or relevant for WP#14</v>
      </c>
      <c r="E95" s="51" t="str">
        <f>'Action Tracking'!F96</f>
        <v>USG DMSPC; USG DOS</v>
      </c>
      <c r="F95" s="51" t="str">
        <f>'Action Tracking'!I96</f>
        <v>DOS; DMSPC</v>
      </c>
      <c r="G95" s="51" t="str">
        <f>'Action Tracking'!J96</f>
        <v>31 December 2025: Endorsement of business case by Steering Group (to be implemented in phases)</v>
      </c>
      <c r="H95" s="52">
        <f>'Action Tracking'!K96</f>
        <v>46021</v>
      </c>
      <c r="I95" s="51" t="str">
        <f>'Action Tracking'!L96</f>
        <v>No later than 31 December 2026: Phase 1 Travel Processing Office consolidation completed and operational. 
31 December 2027: Phase 2 Travel Processing Office Consolidation (Regional Hubs) established. Full operational readiness subject to implementation of new travel management company contracts/procurement process (likely through 2028)</v>
      </c>
      <c r="J95" s="52">
        <f>'Action Tracking'!M96</f>
        <v>46386</v>
      </c>
      <c r="K95" s="48" t="str">
        <f>'Action Tracking'!V96</f>
        <v>Proposals finalized for management consideration</v>
      </c>
      <c r="L95" s="49">
        <f>'Action Tracking'!W96</f>
        <v>46053</v>
      </c>
      <c r="M95" s="50">
        <f>'Action Tracking'!X96</f>
        <v>0</v>
      </c>
      <c r="N95" s="44" t="str">
        <f>'Action Tracking'!Z96</f>
        <v>OK</v>
      </c>
    </row>
  </sheetData>
  <conditionalFormatting sqref="N5:N95">
    <cfRule type="containsText" dxfId="19" priority="1" operator="containsText" text="OK">
      <formula>NOT(ISERROR(SEARCH("OK",N5)))</formula>
    </cfRule>
  </conditionalFormatting>
  <conditionalFormatting sqref="N16:N22">
    <cfRule type="containsText" dxfId="18" priority="29" operator="containsText" text="Reviewed">
      <formula>NOT(ISERROR(SEARCH("Reviewed",N16)))</formula>
    </cfRule>
    <cfRule type="containsText" dxfId="17" priority="30" operator="containsText" text="Need OLA review">
      <formula>NOT(ISERROR(SEARCH("Need OLA review",N16)))</formula>
    </cfRule>
  </conditionalFormatting>
  <conditionalFormatting sqref="N27:N28">
    <cfRule type="containsText" dxfId="16" priority="26" operator="containsText" text="Reviewed">
      <formula>NOT(ISERROR(SEARCH("Reviewed",N27)))</formula>
    </cfRule>
    <cfRule type="containsText" dxfId="15" priority="27" operator="containsText" text="Need OLA review">
      <formula>NOT(ISERROR(SEARCH("Need OLA review",N27)))</formula>
    </cfRule>
  </conditionalFormatting>
  <conditionalFormatting sqref="N30">
    <cfRule type="containsText" dxfId="14" priority="23" operator="containsText" text="Reviewed">
      <formula>NOT(ISERROR(SEARCH("Reviewed",N30)))</formula>
    </cfRule>
    <cfRule type="containsText" dxfId="13" priority="24" operator="containsText" text="Need OLA review">
      <formula>NOT(ISERROR(SEARCH("Need OLA review",N30)))</formula>
    </cfRule>
  </conditionalFormatting>
  <conditionalFormatting sqref="N32:N35">
    <cfRule type="containsText" dxfId="12" priority="20" operator="containsText" text="Reviewed">
      <formula>NOT(ISERROR(SEARCH("Reviewed",N32)))</formula>
    </cfRule>
    <cfRule type="containsText" dxfId="11" priority="21" operator="containsText" text="Need OLA review">
      <formula>NOT(ISERROR(SEARCH("Need OLA review",N32)))</formula>
    </cfRule>
  </conditionalFormatting>
  <conditionalFormatting sqref="N40">
    <cfRule type="containsText" dxfId="10" priority="17" operator="containsText" text="Reviewed">
      <formula>NOT(ISERROR(SEARCH("Reviewed",N40)))</formula>
    </cfRule>
    <cfRule type="containsText" dxfId="9" priority="18" operator="containsText" text="Need OLA review">
      <formula>NOT(ISERROR(SEARCH("Need OLA review",N40)))</formula>
    </cfRule>
  </conditionalFormatting>
  <conditionalFormatting sqref="N60:N74">
    <cfRule type="containsText" dxfId="8" priority="14" operator="containsText" text="Reviewed">
      <formula>NOT(ISERROR(SEARCH("Reviewed",N60)))</formula>
    </cfRule>
    <cfRule type="containsText" dxfId="7" priority="15" operator="containsText" text="Need OLA review">
      <formula>NOT(ISERROR(SEARCH("Need OLA review",N60)))</formula>
    </cfRule>
  </conditionalFormatting>
  <conditionalFormatting sqref="N79">
    <cfRule type="containsText" dxfId="6" priority="11" operator="containsText" text="Reviewed">
      <formula>NOT(ISERROR(SEARCH("Reviewed",N79)))</formula>
    </cfRule>
    <cfRule type="containsText" dxfId="5" priority="12" operator="containsText" text="Need OLA review">
      <formula>NOT(ISERROR(SEARCH("Need OLA review",N79)))</formula>
    </cfRule>
  </conditionalFormatting>
  <conditionalFormatting sqref="N81:N82">
    <cfRule type="containsText" dxfId="4" priority="8" operator="containsText" text="Reviewed">
      <formula>NOT(ISERROR(SEARCH("Reviewed",N81)))</formula>
    </cfRule>
    <cfRule type="containsText" dxfId="3" priority="9" operator="containsText" text="Need OLA review">
      <formula>NOT(ISERROR(SEARCH("Need OLA review",N81)))</formula>
    </cfRule>
  </conditionalFormatting>
  <conditionalFormatting sqref="N89:N91">
    <cfRule type="containsText" dxfId="2" priority="2" operator="containsText" text="Reviewed">
      <formula>NOT(ISERROR(SEARCH("Reviewed",N89)))</formula>
    </cfRule>
    <cfRule type="containsText" dxfId="1" priority="3" operator="containsText" text="Need OLA review">
      <formula>NOT(ISERROR(SEARCH("Need OLA review",N89)))</formula>
    </cfRule>
  </conditionalFormatting>
  <pageMargins left="0.23622047244094499" right="0.23622047244094499" top="0.35433070866141703" bottom="0.39370078740157499" header="0.27559055118110198" footer="0.15748031496063"/>
  <pageSetup paperSize="17" fitToHeight="0" orientation="landscape" horizontalDpi="1200" verticalDpi="1200" r:id="rId1"/>
  <headerFooter>
    <oddFooter>&amp;R&amp;"-,Bold"&amp;9Page &amp;P of &amp;N</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1B0E0-A744-4E5A-830F-2B6ED8F38409}">
  <dimension ref="B2:F8"/>
  <sheetViews>
    <sheetView workbookViewId="0">
      <selection activeCell="E2" sqref="E2"/>
    </sheetView>
  </sheetViews>
  <sheetFormatPr baseColWidth="10" defaultColWidth="8.83203125" defaultRowHeight="15"/>
  <cols>
    <col min="2" max="2" width="9.1640625" customWidth="1"/>
    <col min="3" max="3" width="13.83203125" customWidth="1"/>
    <col min="4" max="4" width="15.83203125" customWidth="1"/>
    <col min="5" max="5" width="24.5" customWidth="1"/>
    <col min="6" max="6" width="34.5" customWidth="1"/>
  </cols>
  <sheetData>
    <row r="2" spans="2:6">
      <c r="B2" t="s">
        <v>1268</v>
      </c>
      <c r="C2" t="s">
        <v>1269</v>
      </c>
      <c r="D2" t="s">
        <v>1270</v>
      </c>
      <c r="E2" t="s">
        <v>1271</v>
      </c>
      <c r="F2" t="s">
        <v>1272</v>
      </c>
    </row>
    <row r="3" spans="2:6">
      <c r="B3" t="s">
        <v>1273</v>
      </c>
      <c r="C3" t="s">
        <v>788</v>
      </c>
      <c r="E3" t="s">
        <v>788</v>
      </c>
      <c r="F3" t="s">
        <v>924</v>
      </c>
    </row>
    <row r="4" spans="2:6">
      <c r="B4" t="s">
        <v>1267</v>
      </c>
      <c r="C4" t="s">
        <v>788</v>
      </c>
      <c r="E4" t="s">
        <v>1274</v>
      </c>
      <c r="F4" t="s">
        <v>924</v>
      </c>
    </row>
    <row r="5" spans="2:6">
      <c r="B5" t="s">
        <v>1275</v>
      </c>
      <c r="C5" t="s">
        <v>788</v>
      </c>
      <c r="E5" t="s">
        <v>788</v>
      </c>
      <c r="F5" t="s">
        <v>788</v>
      </c>
    </row>
    <row r="6" spans="2:6">
      <c r="B6" t="s">
        <v>1276</v>
      </c>
      <c r="E6" t="s">
        <v>1277</v>
      </c>
      <c r="F6" t="s">
        <v>1277</v>
      </c>
    </row>
    <row r="7" spans="2:6">
      <c r="B7" t="s">
        <v>1278</v>
      </c>
      <c r="E7" t="s">
        <v>1277</v>
      </c>
      <c r="F7" t="s">
        <v>1277</v>
      </c>
    </row>
    <row r="8" spans="2:6">
      <c r="B8" t="s">
        <v>1279</v>
      </c>
      <c r="C8" t="s">
        <v>788</v>
      </c>
      <c r="E8" t="s">
        <v>788</v>
      </c>
      <c r="F8" t="s">
        <v>1280</v>
      </c>
    </row>
  </sheetData>
  <conditionalFormatting sqref="C3:F8">
    <cfRule type="cellIs" dxfId="0" priority="1" operator="equal">
      <formula>"Yes"</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BC66C-6CC1-42EE-B3E3-6F8B916A0984}">
  <sheetPr>
    <tabColor theme="1"/>
  </sheetPr>
  <dimension ref="A1"/>
  <sheetViews>
    <sheetView workbookViewId="0"/>
  </sheetViews>
  <sheetFormatPr baseColWidth="10" defaultColWidth="8.83203125"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7CC5D-C083-0B43-9B9E-B17A78666655}">
  <sheetPr>
    <tabColor rgb="FFFFC000"/>
  </sheetPr>
  <dimension ref="A1:AE660"/>
  <sheetViews>
    <sheetView showGridLines="0" zoomScale="85" zoomScaleNormal="85" workbookViewId="0">
      <selection activeCell="J19" sqref="J19"/>
    </sheetView>
  </sheetViews>
  <sheetFormatPr baseColWidth="10" defaultColWidth="8.83203125" defaultRowHeight="15"/>
  <cols>
    <col min="1" max="1" width="7.83203125" bestFit="1" customWidth="1"/>
    <col min="2" max="2" width="23.5" customWidth="1"/>
    <col min="3" max="3" width="10.83203125" bestFit="1" customWidth="1"/>
    <col min="4" max="4" width="22" customWidth="1"/>
    <col min="5" max="5" width="16" customWidth="1"/>
    <col min="6" max="6" width="18.1640625" customWidth="1"/>
    <col min="7" max="7" width="20.83203125" customWidth="1"/>
    <col min="8" max="8" width="22.5" customWidth="1"/>
    <col min="9" max="9" width="16.5" customWidth="1"/>
    <col min="10" max="10" width="39.83203125" style="25" customWidth="1"/>
    <col min="11" max="11" width="17" customWidth="1"/>
    <col min="12" max="12" width="22.1640625" customWidth="1"/>
    <col min="13" max="13" width="15.1640625" customWidth="1"/>
    <col min="14" max="14" width="10.83203125" bestFit="1" customWidth="1"/>
    <col min="15" max="17" width="10.83203125" hidden="1" customWidth="1"/>
    <col min="18" max="18" width="17.5" customWidth="1"/>
    <col min="19" max="19" width="10.83203125" style="9" bestFit="1" customWidth="1"/>
    <col min="20" max="20" width="19.5" customWidth="1"/>
    <col min="21" max="26" width="10.83203125" bestFit="1" customWidth="1"/>
    <col min="27" max="27" width="12" style="9" bestFit="1" customWidth="1"/>
    <col min="28" max="28" width="8.5" style="9"/>
    <col min="31" max="31" width="14.5" customWidth="1"/>
  </cols>
  <sheetData>
    <row r="1" spans="1:31">
      <c r="B1" s="28" t="s">
        <v>1281</v>
      </c>
      <c r="C1" s="9" t="s">
        <v>1282</v>
      </c>
      <c r="D1" s="28" t="s">
        <v>1283</v>
      </c>
      <c r="E1" t="s">
        <v>35</v>
      </c>
      <c r="F1" s="28" t="s">
        <v>1284</v>
      </c>
      <c r="G1" t="s">
        <v>1285</v>
      </c>
      <c r="J1" s="2"/>
      <c r="S1"/>
      <c r="AA1" s="24" t="s">
        <v>1286</v>
      </c>
      <c r="AB1" s="24" t="s">
        <v>1287</v>
      </c>
      <c r="AC1" s="24" t="s">
        <v>1288</v>
      </c>
      <c r="AD1" s="24" t="s">
        <v>1289</v>
      </c>
      <c r="AE1" s="24" t="s">
        <v>1290</v>
      </c>
    </row>
    <row r="2" spans="1:31">
      <c r="B2" s="28" t="s">
        <v>1291</v>
      </c>
      <c r="C2" s="9" t="s">
        <v>1282</v>
      </c>
      <c r="D2" s="28" t="s">
        <v>1292</v>
      </c>
      <c r="E2" t="s">
        <v>1293</v>
      </c>
      <c r="J2" s="2"/>
      <c r="S2"/>
      <c r="AA2" s="9" t="s">
        <v>1282</v>
      </c>
      <c r="AB2" s="9" t="s">
        <v>1282</v>
      </c>
      <c r="AC2" t="s">
        <v>1294</v>
      </c>
      <c r="AD2" t="s">
        <v>1293</v>
      </c>
      <c r="AE2" t="s">
        <v>1285</v>
      </c>
    </row>
    <row r="3" spans="1:31">
      <c r="J3" s="2"/>
      <c r="S3"/>
      <c r="AA3" s="9" cm="1">
        <f t="array" ref="AA3:AA8">_xlfn.LET(
  _xlpm.d,'Action Tracking'!$K$6:$K$19999,
  _xlpm.m,IF(ISNUMBER(_xlpm.d)*(_xlpm.d&lt;&gt;0),DATE(YEAR(_xlpm.d),MONTH(_xlpm.d),1),""),
  _xlfn._xlws.SORT(_xlfn.UNIQUE(_xlfn._xlws.FILTER(_xlpm.m,_xlpm.m&lt;&gt;"","")))
)</f>
        <v>45962</v>
      </c>
      <c r="AB3" s="9" cm="1">
        <f t="array" ref="AB3:AB8">_xlfn.LET(
  _xlpm.d,'Action Tracking'!$K$6:$K$19999,
  _xlpm.m,IF(ISNUMBER(_xlpm.d)*(_xlpm.d&lt;&gt;0),DATE(YEAR(_xlpm.d),MONTH(_xlpm.d),1),""),
  _xlfn._xlws.SORT(_xlfn.UNIQUE(_xlfn._xlws.FILTER(_xlpm.m,_xlpm.m&lt;&gt;"","")))
)</f>
        <v>45962</v>
      </c>
      <c r="AC3" t="str" cm="1">
        <f t="array" ref="AC3:AC36">_xlfn.LET(
  _xlpm.r,'Action Tracking'!$F$6:$F$19999,
  _xlpm.joined,_xlfn.TEXTJOIN(";",TRUE,_xlpm.r),
  _xlpm.parts,_xlfn.TEXTSPLIT(_xlpm.joined,";"),
  _xlpm.flat,_xlfn.TOCOL(_xlpm.parts,1),
  _xlpm.cleaned,TRIM(_xlpm.flat),
  _xlfn._xlws.SORT(_xlfn.UNIQUE(_xlfn._xlws.FILTER(_xlpm.cleaned,_xlpm.cleaned&lt;&gt;"","")))
)</f>
        <v>Administrator UNDP</v>
      </c>
      <c r="AD3" t="str" cm="1">
        <f t="array" ref="AD3:AD58">_xlfn.LET(
  _xlpm.r,'Action Tracking'!$I$6:$I$19999,
  _xlpm.joined,_xlfn.TEXTJOIN(";",TRUE,_xlpm.r),
  _xlpm.parts,_xlfn.TEXTSPLIT(_xlpm.joined,";"),
  _xlpm.flat,_xlfn.TOCOL(_xlpm.parts,1),
  _xlpm.cleaned,TRIM(_xlpm.flat),
  _xlfn._xlws.SORT(_xlfn.UNIQUE(_xlfn._xlws.FILTER(_xlpm.cleaned,_xlpm.cleaned&lt;&gt;"","")))
)</f>
        <v>BIG</v>
      </c>
      <c r="AE3" t="str" cm="1">
        <f t="array" ref="AE3:AE6">_xlfn._xlws.SORT(_xlfn.UNIQUE(_xlfn._xlws.FILTER(TRIM('Action Tracking'!$N$6:$N$19999),TRIM('Action Tracking'!$N$6:$N$19999)&lt;&gt;"","")))</f>
        <v>Attention to timeline</v>
      </c>
    </row>
    <row r="4" spans="1:31">
      <c r="J4" s="2"/>
      <c r="S4"/>
      <c r="AA4" s="9">
        <v>45992</v>
      </c>
      <c r="AB4" s="9">
        <v>45992</v>
      </c>
      <c r="AC4" t="str">
        <v>ASG DCO</v>
      </c>
      <c r="AD4" t="str">
        <v>DCO</v>
      </c>
      <c r="AE4" t="str">
        <v>Confirmation needed</v>
      </c>
    </row>
    <row r="5" spans="1:31" ht="16">
      <c r="A5" s="24" t="str">
        <f>UN80_Action_Plan__2_1[[#Headers],[WP No.]]</f>
        <v>WP No.</v>
      </c>
      <c r="B5" s="24" t="str">
        <f>UN80_Action_Plan__2_1[[#Headers],[Work Package]]</f>
        <v>Work Package</v>
      </c>
      <c r="C5" s="24" t="str">
        <f>UN80_Action_Plan__2_1[[#Headers],[Action No]]</f>
        <v>Action No</v>
      </c>
      <c r="D5" s="24" t="str">
        <f>UN80_Action_Plan__2_1[[#Headers],[Indicative Action]]</f>
        <v>Indicative Action</v>
      </c>
      <c r="E5" s="24" t="str">
        <f>UN80_Action_Plan__2_1[[#Headers],[Sub-Action]]</f>
        <v>Sub-Action</v>
      </c>
      <c r="F5" s="24" t="str">
        <f>UN80_Action_Plan__2_1[[#Headers],[WP Leads]]</f>
        <v>WP Leads</v>
      </c>
      <c r="G5" s="24" t="str">
        <f>UN80_Action_Plan__2_1[[#Headers],[Action Lead(s)]]</f>
        <v>Action Lead(s)</v>
      </c>
      <c r="H5" s="24" t="str">
        <f>UN80_Action_Plan__2_1[[#Headers],[Action Support(s)]]</f>
        <v>Action Support(s)</v>
      </c>
      <c r="I5" s="24" t="str">
        <f>UN80_Action_Plan__2_1[[#Headers],[ActionEntity(s)]]</f>
        <v>ActionEntity(s)</v>
      </c>
      <c r="J5" s="34" t="str">
        <f>UN80_Action_Plan__2_1[[#Headers],[Milestone 1]]</f>
        <v>Milestone 1</v>
      </c>
      <c r="K5" s="24" t="str">
        <f>UN80_Action_Plan__2_1[[#Headers],[Milestone 1 Deadline]]</f>
        <v>Milestone 1 Deadline</v>
      </c>
      <c r="L5" s="24" t="str">
        <f>UN80_Action_Plan__2_1[[#Headers],[Milestone Final]]</f>
        <v>Milestone Final</v>
      </c>
      <c r="M5" s="24" t="str">
        <f>UN80_Action_Plan__2_1[[#Headers],[Milestone Final Deadline]]</f>
        <v>Milestone Final Deadline</v>
      </c>
      <c r="N5" s="24" t="str">
        <f>UN80_Action_Plan__2_1[[#Headers],[Sense-checked]]</f>
        <v>Sense-checked</v>
      </c>
      <c r="O5" s="24" t="str">
        <f>UN80_Action_Plan__2_1[[#Headers],[Notes]]</f>
        <v>Notes</v>
      </c>
      <c r="P5" s="24" t="str">
        <f>UN80_Action_Plan__2_1[[#Headers],[WP No.]]</f>
        <v>WP No.</v>
      </c>
      <c r="Q5" s="24" t="str">
        <f>UN80_Action_Plan__2_1[[#Headers],[Work Package]]</f>
        <v>Work Package</v>
      </c>
      <c r="R5" s="24"/>
      <c r="S5" s="24"/>
      <c r="T5" s="24"/>
      <c r="U5" s="27" t="s">
        <v>1295</v>
      </c>
      <c r="AA5" s="9">
        <v>46023</v>
      </c>
      <c r="AB5" s="9">
        <v>46023</v>
      </c>
      <c r="AC5" t="str">
        <v>CDC</v>
      </c>
      <c r="AD5" t="str">
        <v>DESA</v>
      </c>
      <c r="AE5" t="str">
        <v>Finalized</v>
      </c>
    </row>
    <row r="6" spans="1:31" ht="32">
      <c r="A6" s="13" cm="1">
        <f t="array" ref="A6:O20">_xlfn.LET(
  _xlpm.dataRange,'Action Tracking'!$A$6:$O$19999,
  _xlpm.hasData,TRIM('Action Tracking'!$A$6:$A$19999)&lt;&gt;"",
  _xlpm.dateM1,'Action Tracking'!$K$6:$K$19999,
  _xlpm.dateFinal,'Action Tracking'!$M$6:$M$19999,
  _xlpm.monthM1,IFERROR(DATE(YEAR(_xlpm.dateM1),MONTH(_xlpm.dateM1),1),0),
  _xlpm.monthFinal,IFERROR(DATE(YEAR(_xlpm.dateFinal),MONTH(_xlpm.dateFinal),1),0),
  _xlpm.pickM1,$C$1,
  _xlpm.pickFinal,$C$2,
  _xlpm.critM1,IF(OR(_xlpm.pickM1="",_xlpm.pickM1="All months"),1,_xlpm.monthM1=_xlpm.pickM1),
  _xlpm.critFinal,IF(OR(_xlpm.pickFinal="",_xlpm.pickFinal="All months"),1,_xlpm.monthFinal=_xlpm.pickFinal),
  _xlpm.leadRaw,'Action Tracking'!$F$6:$F$19999,
  _xlpm.pickLead,TRIM($E$1),
  _xlpm.leadNorm,";"&amp;SUBSTITUTE(SUBSTITUTE(SUBSTITUTE(_xlpm.leadRaw,CHAR(10),""),"; ",";")," ;",";")&amp;";",
  _xlpm.critLead,IF(OR(_xlpm.pickLead="",_xlpm.pickLead="All Leads"),1,ISNUMBER(SEARCH(";"&amp;_xlpm.pickLead&amp;";",_xlpm.leadNorm))),
  _xlpm.entRaw,'Action Tracking'!$I$6:$I$19999,
  _xlpm.pickEnt,TRIM($E$2),
  _xlpm.entNorm,";"&amp;SUBSTITUTE(SUBSTITUTE(SUBSTITUTE(_xlpm.entRaw,CHAR(10),""),"; ",";")," ;",";")&amp;";",
  _xlpm.critEnt,IF(OR(_xlpm.pickEnt="",_xlpm.pickEnt="All Entities"),1,ISNUMBER(SEARCH(";"&amp;_xlpm.pickEnt&amp;";",_xlpm.entNorm))),
  _xlpm.senseRaw,TRIM('Action Tracking'!$N$6:$N$19999),
  _xlpm.pickSense,TRIM($G$1),
  _xlpm.critSense,IF(OR(_xlpm.pickSense="",_xlpm.pickSense="All Sense-checks"),1,_xlpm.senseRaw=_xlpm.pickSense),
  _xlfn._xlws.FILTER(_xlpm.dataRange, _xlpm.hasData*_xlpm.critM1*_xlpm.critFinal*_xlpm.critLead*_xlpm.critEnt*_xlpm.critSense, "No actions match your filters")
)</f>
        <v>10</v>
      </c>
      <c r="B6" s="13" t="str">
        <v>WP10: Senior management coordination forums</v>
      </c>
      <c r="C6" s="13">
        <v>43</v>
      </c>
      <c r="D6" s="13" t="str">
        <v>Review top management fora to ease the coordination burden for senior leaders and ensure coherent action across pillar, incl. CEB, IASC, UNSDG, EC</v>
      </c>
      <c r="E6" s="13">
        <v>0</v>
      </c>
      <c r="F6" s="13" t="str">
        <v>USG Policy</v>
      </c>
      <c r="G6" s="13" t="str">
        <v>Guy Ryder, USG for Policy, guy.ryder@un.org</v>
      </c>
      <c r="H6" s="13" t="str">
        <v>Kersten Jauer, Deputy Director SPMU, EOSG, jauer@un.org</v>
      </c>
      <c r="I6" s="13" t="str">
        <v>EOSG (USG Policy); DCO; OCHA</v>
      </c>
      <c r="J6" s="32" t="str">
        <v>Coordination fora mapped and first draft baseline analytics prepared</v>
      </c>
      <c r="K6" s="81">
        <v>46052</v>
      </c>
      <c r="L6" s="30" t="str">
        <v>Initial actions prepared for the Secretary-General's consideration</v>
      </c>
      <c r="M6" s="30">
        <v>46112</v>
      </c>
      <c r="N6" s="13" t="str">
        <v>Finalized</v>
      </c>
      <c r="O6" s="13">
        <v>0</v>
      </c>
      <c r="P6" s="13"/>
      <c r="Q6" s="13"/>
      <c r="R6" s="13"/>
      <c r="S6" s="31"/>
      <c r="U6">
        <f t="shared" ref="U6:U37" si="0">IF(TRIM(H6)="","",1+LEN(TRIM(H6))-LEN(SUBSTITUTE(TRIM(H6),";","")))</f>
        <v>1</v>
      </c>
      <c r="AA6" s="9">
        <v>46054</v>
      </c>
      <c r="AB6" s="9">
        <v>46054</v>
      </c>
      <c r="AC6" t="str">
        <v>Chair HLCM</v>
      </c>
      <c r="AD6" t="str">
        <v>DGACM</v>
      </c>
      <c r="AE6" t="str">
        <v>No submission</v>
      </c>
    </row>
    <row r="7" spans="1:31" ht="32">
      <c r="A7" s="13">
        <v>10</v>
      </c>
      <c r="B7" s="13" t="str">
        <v>WP10: Senior management coordination forums</v>
      </c>
      <c r="C7" s="13">
        <v>44</v>
      </c>
      <c r="D7" s="13" t="str">
        <v>Consider proposals to unify administrative backend support and streamline duplicative agendas without affecting core substantive competencies</v>
      </c>
      <c r="E7" s="13">
        <v>0</v>
      </c>
      <c r="F7" s="13" t="str">
        <v>USG Policy</v>
      </c>
      <c r="G7" s="13" t="str">
        <v xml:space="preserve">Guy Ryder, USG for Policy, guy.ryder@un.org
</v>
      </c>
      <c r="H7" s="13" t="str">
        <v>Kersten Jauer, Deputy Director SPMU, EOSG, jauer@un.org</v>
      </c>
      <c r="I7" s="13" t="str">
        <v>EOSG (USG Policy); DCO; OCHA</v>
      </c>
      <c r="J7" s="32" t="str">
        <v>Coordination fora mapped and first draft baseline analytics prepared</v>
      </c>
      <c r="K7" s="81">
        <v>46052</v>
      </c>
      <c r="L7" s="30" t="str">
        <v>Initial actions prepared for the Secretary-General's consideration</v>
      </c>
      <c r="M7" s="30">
        <v>46112</v>
      </c>
      <c r="N7" s="13" t="str">
        <v>Finalized</v>
      </c>
      <c r="O7" s="13">
        <v>0</v>
      </c>
      <c r="P7" s="13"/>
      <c r="Q7" s="13"/>
      <c r="R7" s="13"/>
      <c r="S7" s="31"/>
      <c r="U7">
        <f t="shared" si="0"/>
        <v>1</v>
      </c>
      <c r="AA7" s="9">
        <v>46082</v>
      </c>
      <c r="AB7" s="9">
        <v>46082</v>
      </c>
      <c r="AC7" t="str">
        <v>Co-Chairs BIG</v>
      </c>
      <c r="AD7" t="str">
        <v>DGC</v>
      </c>
    </row>
    <row r="8" spans="1:31" ht="32">
      <c r="A8" s="13">
        <v>10</v>
      </c>
      <c r="B8" s="13" t="str">
        <v>WP10: Senior management coordination forums</v>
      </c>
      <c r="C8" s="13">
        <v>46</v>
      </c>
      <c r="D8" s="13" t="str">
        <v>Review existing interagency task forces and working groups and bring together all Headquarters coordination on country-specific, cross-pillar approaches to crisis prevention and centre capacities around the Regional Monthly Review platform</v>
      </c>
      <c r="E8" s="13">
        <v>0</v>
      </c>
      <c r="F8" s="13" t="str">
        <v>USG Policy</v>
      </c>
      <c r="G8" s="13" t="str">
        <v xml:space="preserve">Guy Ryder, USG for Policy, guy.ryder@un.org
</v>
      </c>
      <c r="H8" s="13" t="str">
        <v>Ayaka Suzuki, Director SPMU, EOSG, suzukia@un.org</v>
      </c>
      <c r="I8" s="13" t="str">
        <v>EOSG (USG Policy)</v>
      </c>
      <c r="J8" s="32" t="str">
        <v>Coordination fora mapped and first draft baseline analytics prepared</v>
      </c>
      <c r="K8" s="81">
        <v>46052</v>
      </c>
      <c r="L8" s="30" t="str">
        <v>Interagency task forces and working groups streamlined around 			Regional Monthly Review</v>
      </c>
      <c r="M8" s="30">
        <v>46280</v>
      </c>
      <c r="N8" s="13" t="str">
        <v>Confirmation needed</v>
      </c>
      <c r="O8" s="13" t="str">
        <v>Confirm action members</v>
      </c>
      <c r="P8" s="13"/>
      <c r="Q8" s="13"/>
      <c r="R8" s="13"/>
      <c r="S8" s="31"/>
      <c r="U8">
        <f t="shared" si="0"/>
        <v>1</v>
      </c>
      <c r="AA8" s="9">
        <v>46113</v>
      </c>
      <c r="AB8" s="9">
        <v>46113</v>
      </c>
      <c r="AC8" t="str">
        <v>Co-Chairs DTN</v>
      </c>
      <c r="AD8" t="str">
        <v>DMSPC</v>
      </c>
    </row>
    <row r="9" spans="1:31" ht="16">
      <c r="A9" s="13">
        <v>11</v>
      </c>
      <c r="B9" s="13" t="str">
        <v>WP11: Special envoy review</v>
      </c>
      <c r="C9" s="13">
        <v>38</v>
      </c>
      <c r="D9" s="13" t="str">
        <v>Abolish the Special Coordinator for Development in the Sahel post and its associated office (functions and responsibilities are absorbed and performed by existing entities)</v>
      </c>
      <c r="E9" s="13">
        <v>0</v>
      </c>
      <c r="F9" s="13" t="str">
        <v>USG Policy</v>
      </c>
      <c r="G9" s="13" t="str">
        <v>Guy Ryder, USG Policy, guy.ryder@un.org;
Karima El-Korri, Director SDU, elkorri@un.org</v>
      </c>
      <c r="H9" s="13">
        <v>0</v>
      </c>
      <c r="I9" s="13" t="str">
        <v>EOSG (USG Policy); EOSG (ODSG)</v>
      </c>
      <c r="J9" s="32" t="str">
        <v>N/A</v>
      </c>
      <c r="K9" s="81">
        <v>45991</v>
      </c>
      <c r="L9" s="30" t="str">
        <v>Special Coordinator for Development in the Sahel post and its associated office abolished</v>
      </c>
      <c r="M9" s="30">
        <v>46021</v>
      </c>
      <c r="N9" s="13" t="str">
        <v>Finalized</v>
      </c>
      <c r="O9" s="13">
        <v>0</v>
      </c>
      <c r="P9" s="13"/>
      <c r="Q9" s="13"/>
      <c r="R9" s="13"/>
      <c r="S9" s="31"/>
      <c r="U9">
        <f t="shared" si="0"/>
        <v>1</v>
      </c>
      <c r="AC9" t="str">
        <v>DSG</v>
      </c>
      <c r="AD9" t="str">
        <v>DOS</v>
      </c>
    </row>
    <row r="10" spans="1:31" ht="16">
      <c r="A10" s="13">
        <v>11</v>
      </c>
      <c r="B10" s="13" t="str">
        <v>WP11: Special envoy review</v>
      </c>
      <c r="C10" s="13">
        <v>45</v>
      </c>
      <c r="D10" s="13" t="str">
        <v>Review and make proposals to Member States regarding SG’s some 30 special envoys, representatives, coordinators and advisers, both thematic and geographic</v>
      </c>
      <c r="E10" s="13">
        <v>0</v>
      </c>
      <c r="F10" s="13" t="str">
        <v>USG Policy</v>
      </c>
      <c r="G10" s="13" t="str">
        <v>Guy Ryder, USG for Policy, guy.ryder@un.org</v>
      </c>
      <c r="H10" s="13" t="str">
        <v>Ayaka Suzuki, Director SPMU, EOSG, suzukia@un.org; Diler Erdengiz, Programme Management Officer, EOSG, erdengiz@un.org</v>
      </c>
      <c r="I10" s="13" t="str">
        <v>EOSG (USG Policy)</v>
      </c>
      <c r="J10" s="32" t="str">
        <v>All special envoys mapped</v>
      </c>
      <c r="K10" s="81">
        <v>45995</v>
      </c>
      <c r="L10" s="30" t="str">
        <v>Consideration of any changes in Special Envoy roster finalized by the Secretary-General</v>
      </c>
      <c r="M10" s="30">
        <v>46080</v>
      </c>
      <c r="N10" s="13" t="str">
        <v>Finalized</v>
      </c>
      <c r="O10" s="13">
        <v>0</v>
      </c>
      <c r="P10" s="13"/>
      <c r="Q10" s="13"/>
      <c r="R10" s="13"/>
      <c r="S10" s="31"/>
      <c r="U10">
        <f t="shared" si="0"/>
        <v>2</v>
      </c>
      <c r="AC10" t="str">
        <v>ED UN Women</v>
      </c>
      <c r="AD10" t="str">
        <v>DPO</v>
      </c>
    </row>
    <row r="11" spans="1:31" ht="96">
      <c r="A11" s="13">
        <v>15</v>
      </c>
      <c r="B11" s="13" t="str">
        <v>WP15: Technology</v>
      </c>
      <c r="C11" s="13">
        <v>61</v>
      </c>
      <c r="D11" s="13" t="str">
        <v>Prepare a proposal to consolidate the fragmented landscape of basic cloud services, network infrastructures, office software and systems under realigned common providers that can serve the entire UN system, building on lessons from the International Computing Centre</v>
      </c>
      <c r="E11" s="13">
        <v>0</v>
      </c>
      <c r="F11" s="13" t="str">
        <v>SG ITU; USG Policy; Co-Chairs DTN</v>
      </c>
      <c r="G11" s="13" t="str">
        <v>Kelly Clements, DHC UNHCR, clements@unhcr.org; 
Alexander De Croo, Administrator UNDP, alexander.de.croo@undp.org;
Daren Tang, DG WIPO, daren.tang@wipo.int;
Jens Wandel, SA Reform, jens.wandel@un.org;
Tedros Ghebreyesus, DG WHO, drtedros@who.int;
Sungah Lee, DDG M&amp;R IOM, sungahlee@iom.int</v>
      </c>
      <c r="H11" s="13" t="str">
        <v>Robert Opp, Chief Digital Officer, UNDP, robert.opp@undp.org; Khuloud Odeh, Chief Information Officer, ITU, khuloud.odeh@itu.int;
Sylvain St-Pierre, Chief Information Officer, UNHCR, st-pierre@unhcr.org; Volker Schimmel, Head of Service, UNHCR, schimmel@unhcr.org; 
Karl Kalejs, Chief Information Officer, WIPO, karl.kalejs@wipo.int;
Alexandru Zegrea, Counsellor to the Assistant Director General for Administration, Finance and Management, WIPO, alex.zegrea@wipo.int; 
Biswamber GURUBACHARYA, [xxx], WHO, gurubacharyab@who.int; Marietta MUWANGA-SSEVUME, Director ICT, IOM, muwanga@iom.int; 
Richard Maciver, Coordinator Digital and Technology Network, CEB, richard.maciver@un.org; Kersten Jauer, Deputy Director, Strategic Planning Unit, EOSG, jauer@un.org; Talea Von Lupin, Portfolio Manager, EOSG, talea.vonlupin@un.org</v>
      </c>
      <c r="I11" s="13" t="str">
        <v>EOSG (USG Policy); ITU; HLCM; UNHCR; UNDP; WIPO; EOSG (SA); WHO; IOM</v>
      </c>
      <c r="J11" s="32" t="str">
        <v>Systemwide ICT baseline info completed: comprehensive mapping of existing ICT capacities, including contracts (spending, suppliers), people/capacities (staffing, shared-service providers), and ongoing consolidation initiatives in HLCM, BIG, IASC, etc.</v>
      </c>
      <c r="K11" s="30">
        <v>46068</v>
      </c>
      <c r="L11" s="30" t="str">
        <v>ICT consolidation proposal endorsed by CEB: actions for unified ICT capacities as part of Unified Services Roadmap, including operational shared service delivery leveraging on ICC realignment/reform and other existing ICT shared services model such as UNDP/UN Secretariat ERP as a service, indicating estimated required investments and expected efficiency gains</v>
      </c>
      <c r="M11" s="30">
        <v>46156</v>
      </c>
      <c r="N11" s="13" t="str">
        <v>Finalized</v>
      </c>
      <c r="O11" s="13">
        <v>0</v>
      </c>
      <c r="P11" s="13"/>
      <c r="Q11" s="13"/>
      <c r="R11" s="13"/>
      <c r="S11" s="31"/>
      <c r="U11">
        <f t="shared" si="0"/>
        <v>11</v>
      </c>
      <c r="AC11" t="str">
        <v>ED UNAIDS</v>
      </c>
      <c r="AD11" t="str">
        <v>DPPA</v>
      </c>
    </row>
    <row r="12" spans="1:31" ht="128">
      <c r="A12" s="13">
        <v>15</v>
      </c>
      <c r="B12" s="13" t="str">
        <v>WP15: Technology</v>
      </c>
      <c r="C12" s="13">
        <v>62</v>
      </c>
      <c r="D12" s="13" t="str">
        <v xml:space="preserve">Develop a proposal for a Technology Accelerator Platform (TAP) for the Chief Executives Board for a lean joint programme accountable to the SG, led by group of entities with advanced capabilities, to help modernize business practices, scale up expertise, offer surge capacity and jointly build systemically important technology solutions, with a parallel kick-off of at least six joint use cases showcasing demonstratable impact in 2026. </v>
      </c>
      <c r="E12" s="13">
        <v>0</v>
      </c>
      <c r="F12" s="13" t="str">
        <v>SG ITU; USG Policy; Co-Chairs DTN</v>
      </c>
      <c r="G12" s="13" t="str">
        <v>Kelly Clements, DHC UNHCR, clements@unhcr.org; 
Alexander De Croo, Administrator UNDP, alexander.de.croo@undp.org;
Daren Tang, DG WIPO, daren.tang@wipo.int;
Jens Wandel, SA Reform, jens.wandel@un.org;
Tedros Ghebreyesus, DG WHO, drtedros@who.int;
Sungah Lee, DDG M&amp;R IOM, sungahlee@iom.int</v>
      </c>
      <c r="H12" s="13" t="str">
        <v>Robert Opp, Chief Digital Officer, UNDP, robert.opp@undp.org; Khuloud Odeh, Chief Information Officer, ITU, khuloud.odeh@itu.int;
Sylvain St-Pierre, Chief Information Officer, UNHCR, st-pierre@unhcr.org; Volker Schimmel, Head of Service, UNHCR, schimmel@unhcr.org; 
Karl Kalejs, Chief Information Officer, WIPO, karl.kalejs@wipo.int;
Alexandru Zegrea, Counsellor to the Assistant Director General for Administration, Finance and Management, WIPO, alex.zegrea@wipo.int; 
Biswamber GURUBACHARYA, [xxx], WHO, gurubacharyab@who.int; Marietta MUWANGA-SSEVUME, Director ICT, IOM, muwanga@iom.int; 
Richard Maciver, Coordinator Digital and Technology Network, CEB, richard.maciver@un.org; Kersten Jauer, Deputy Director, Strategic Planning Unit, EOSG, jauer@un.org; Talea Von Lupin, Portfolio Manager, EOSG, talea.vonlupin@un.org</v>
      </c>
      <c r="I12" s="13" t="str">
        <v>EOSG (USG Policy); ITU; HLCM; UNHCR; UNDP; WIPO; EOSG (SA); WHO; IOM</v>
      </c>
      <c r="J12" s="32" t="str">
        <v>Portfolio of 3 high-impact technology acceleration use cases proposed to the UN80 Steering Committee, drawn from UN 2.0 and UN80 reports (e.g. mandate registry / tools, beneficiary ID (Quint), data commons site 1.0), plus a short survey to capture demand signals and early contributors for at least 3 additional use cases for Steering Committee endorsement by mid-2026</v>
      </c>
      <c r="K12" s="81">
        <v>46061</v>
      </c>
      <c r="L12" s="30" t="str">
        <v>At least three priority accelerator use cases in deployment systemwide, with clear KPI improvements (e.g., documented efficiency gains and user satisfaction improvements)</v>
      </c>
      <c r="M12" s="30">
        <v>46279</v>
      </c>
      <c r="N12" s="13" t="str">
        <v>Finalized</v>
      </c>
      <c r="O12" s="13" t="str">
        <v>Intermediate milestones available</v>
      </c>
      <c r="P12" s="13"/>
      <c r="Q12" s="13"/>
      <c r="R12" s="13"/>
      <c r="S12" s="31"/>
      <c r="U12">
        <f t="shared" si="0"/>
        <v>11</v>
      </c>
      <c r="AC12" t="str">
        <v>ED UNFPA</v>
      </c>
      <c r="AD12" t="str">
        <v>ECA</v>
      </c>
    </row>
    <row r="13" spans="1:31" ht="64">
      <c r="A13" s="13">
        <v>16</v>
      </c>
      <c r="B13" s="13" t="str">
        <v>WP16: Data</v>
      </c>
      <c r="C13" s="13">
        <v>73</v>
      </c>
      <c r="D13" s="13" t="str">
        <v>Unify public UN system statistics in a single, high performing platform with interoperable datasets, modern discovery and reuse, APIs and structured access, AI ready architecture, and a scalable analytics backbone.</v>
      </c>
      <c r="E13" s="13">
        <v>0</v>
      </c>
      <c r="F13" s="13" t="str">
        <v>USG Policy; USG DESA; ED UNICEF</v>
      </c>
      <c r="G13" s="13" t="str">
        <v>Guy Ryder, USG Policy, guy.ryder@un.org; 
LI Junhua, USG DESA, junhua.li@un.org; 
Catherine Russell, ED UNICEF, crussell@unicef.org</v>
      </c>
      <c r="H13" s="13" t="str">
        <v>Joao Pedro Azevedo, 
Chief Statistician and Deputy-Director heading the Data-Analytics Section, UNICEF, jpazevedo@unicef.org; 
Shantanu Mukherjee, Director, Economic Analysis and Policy Division, DESA, mukherjee1@un.org; Kersten Jauer, Deputy Director, Strategic Planning Unit, EOSG, jauer@un.org; Wai Min Kwok, Chief of Staff, DESA, kwok@un.org; Talea Von Lupin, Portfolio Manager, EOSG, talea.vonlupin@un.org</v>
      </c>
      <c r="I13" s="13" t="str">
        <v>EOSG (USG Policy); DESA; UNICEF; ILO; ECLAC; ECA; UNIDO</v>
      </c>
      <c r="J13" s="32" t="str">
        <v>Ambition and delivery setup agreed, incl. technological platform recommendation, system-wide leadership commitment for ingestion of existing public UN system data and statistics</v>
      </c>
      <c r="K13" s="30">
        <v>46080</v>
      </c>
      <c r="L13" s="30" t="str">
        <v>Refined platform live, providing a single public UN System Data Commons website for data and statistics ingested from 20+ UN system entities (10+ by end of July, another 10+ by mid-September), including recommendations for further scaling</v>
      </c>
      <c r="M13" s="30">
        <v>46279</v>
      </c>
      <c r="N13" s="13" t="str">
        <v>Finalized</v>
      </c>
      <c r="O13" s="13" t="str">
        <v>Intermediate milestones available</v>
      </c>
      <c r="P13" s="13"/>
      <c r="Q13" s="13"/>
      <c r="R13" s="13"/>
      <c r="S13" s="31"/>
      <c r="U13">
        <f t="shared" si="0"/>
        <v>5</v>
      </c>
      <c r="AC13" t="str">
        <v>ED UNICEF</v>
      </c>
      <c r="AD13" t="str">
        <v>ECE</v>
      </c>
    </row>
    <row r="14" spans="1:31" ht="64">
      <c r="A14" s="13">
        <v>16</v>
      </c>
      <c r="B14" s="13" t="str">
        <v>WP16: Data</v>
      </c>
      <c r="C14" s="13">
        <v>74</v>
      </c>
      <c r="D14" s="13" t="str">
        <v>Establish a jointly financed, jointly governed programme and core team to run the Commons, secure system wide leadership commitments, and set a sustainable, pooled funding model with clear governance and capacity to deliver at pace and quality.</v>
      </c>
      <c r="E14" s="13">
        <v>0</v>
      </c>
      <c r="F14" s="13" t="str">
        <v>USG Policy; USG DESA; ED UNICEF</v>
      </c>
      <c r="G14" s="13" t="str">
        <v>Guy Ryder, USG Policy, guy.ryder@un.org; 
LI Junhua, USG DESA, junhua.li@un.org; 
Catherine Russell, ED UNICEF, crussell@unicef.org</v>
      </c>
      <c r="H14" s="13" t="str">
        <v>Joao Pedro Azevedo, 
Chief Statistician and Deputy-Director heading the Data-Analytics Section, UNICEF, jpazevedo@unicef.org; 
Shantanu Mukherjee, Director, Economic Analysis and Policy Division, DESA, mukherjee1@un.org; Kersten Jauer, Deputy Director, Strategic Planning Unit, EOSG, jauer@un.org; Wai Min Kwok, Chief of Staff, DESA, kwok@un.org; Talea Von Lupin, Portfolio Manager, EOSG, talea.vonlupin@un.org</v>
      </c>
      <c r="I14" s="13" t="str">
        <v>EOSG (USG Policy); DESA; UNICEF; ILO; ECLAC; ECA; UNIDO</v>
      </c>
      <c r="J14" s="32" t="str">
        <v>As part of ambition and delivery setup, system-wide leadership commitment secured for a joint programme in support of the UN System Data Commons, incl. potential resource contributions</v>
      </c>
      <c r="K14" s="30">
        <v>46080</v>
      </c>
      <c r="L14" s="30" t="str">
        <v>Joint programme for UN System Data Commons fully set up, incl. initial resource contributions, and recommendations drafted for 2027 scaling</v>
      </c>
      <c r="M14" s="30">
        <v>45914</v>
      </c>
      <c r="N14" s="13" t="str">
        <v>Finalized</v>
      </c>
      <c r="O14" s="13" t="str">
        <v>Intermediate milestones available</v>
      </c>
      <c r="P14" s="13"/>
      <c r="Q14" s="13"/>
      <c r="R14" s="13"/>
      <c r="S14" s="31"/>
      <c r="U14">
        <f t="shared" si="0"/>
        <v>5</v>
      </c>
      <c r="AC14" t="str">
        <v>ED UNITAR</v>
      </c>
      <c r="AD14" t="str">
        <v>ECLAC</v>
      </c>
    </row>
    <row r="15" spans="1:31" ht="48">
      <c r="A15" s="13">
        <v>16</v>
      </c>
      <c r="B15" s="13" t="str">
        <v>WP16: Data</v>
      </c>
      <c r="C15" s="13">
        <v>75</v>
      </c>
      <c r="D15" s="13" t="str">
        <v>Pool the know-how of data analysts, engineers, and scientists to support the UN system, the new hubs, humanitarian clusters, and country teams alike</v>
      </c>
      <c r="E15" s="13">
        <v>0</v>
      </c>
      <c r="F15" s="13" t="str">
        <v>USG Policy; USG DESA; ED UNICEF</v>
      </c>
      <c r="G15" s="13" t="str">
        <v>Guy Ryder, USG Policy, guy.ryder@un.org; 
LI Junhua, USG DESA, junhua.li@un.org; 
Catherine Russell, ED UNICEF, crussell@unicef.org</v>
      </c>
      <c r="H15" s="13" t="str">
        <v>Joao Pedro Azevedo, 
Chief Statistician and Deputy-Director heading the Data-Analytics Section, UNICEF, jpazevedo@unicef.org; 
Shantanu Mukherjee, Director, Economic Analysis and Policy Division, DESA, mukherjee1@un.org; Kersten Jauer, Deputy Director, Strategic Planning Unit, EOSG, jauer@un.org; Wai Min Kwok, Chief of Staff, DESA, kwok@un.org; Talea Von Lupin, Portfolio Manager, EOSG, talea.vonlupin@un.org</v>
      </c>
      <c r="I15" s="13" t="str">
        <v>EOSG (USG Policy); DESA; UNICEF; ILO; ECLAC; ECA; UNIDO</v>
      </c>
      <c r="J15" s="32" t="str">
        <v>As part of ambition and delivery setup, initial resource and personnel contributions from UN system entities secured</v>
      </c>
      <c r="K15" s="30">
        <v>46080</v>
      </c>
      <c r="L15" s="30" t="str">
        <v>Long-term team in support of UN System Data Commons assembled, and recommendations for 2027 scaling available</v>
      </c>
      <c r="M15" s="30">
        <v>46279</v>
      </c>
      <c r="N15" s="13" t="str">
        <v>Finalized</v>
      </c>
      <c r="O15" s="13">
        <v>0</v>
      </c>
      <c r="P15" s="13"/>
      <c r="Q15" s="13"/>
      <c r="R15" s="13"/>
      <c r="S15" s="31"/>
      <c r="U15">
        <f t="shared" si="0"/>
        <v>5</v>
      </c>
      <c r="AC15" t="str">
        <v>ED UNOPS</v>
      </c>
      <c r="AD15" t="str">
        <v>EOSG (ODSG)</v>
      </c>
    </row>
    <row r="16" spans="1:31" ht="128">
      <c r="A16" s="13">
        <v>19</v>
      </c>
      <c r="B16" s="13" t="str">
        <v>WP19: Mandate creation support</v>
      </c>
      <c r="C16" s="13">
        <v>80</v>
      </c>
      <c r="D16" s="16" t="str">
        <v>Prepare an action plan to improve staff support to Member State during mandate creation, based on mapping of existing capacities per mandating bodies and Member State priorities</v>
      </c>
      <c r="E16" s="13">
        <v>0</v>
      </c>
      <c r="F16" s="13" t="str">
        <v>USG Policy; USG DGACM</v>
      </c>
      <c r="G16" s="13" t="str">
        <v>Guy Ryder, USG for Policy, guy.ryder@un.org;
Movses Abelian, USG DGACM, abelian@un.org</v>
      </c>
      <c r="H16" s="13" t="str">
        <v>Melanie Ramjoue, Senior Programme Officer, EOSG, ramjoue@un.org;
Wannes Lint, Intergovernmental Affairs Officer, DGACM, lint@un.org</v>
      </c>
      <c r="I16" s="13" t="str">
        <v>EOSG (USG Policy); DGACM; DMSPC; DGC</v>
      </c>
      <c r="J16" s="32" t="str">
        <v>Draft of member state survey on mandate creation support finalized for Co-Chairs' of IAHWG on Mandate Implementation Review consideration</v>
      </c>
      <c r="K16" s="30">
        <v>46052</v>
      </c>
      <c r="L16" s="32" t="str">
        <v>Proposals for enhanced mandate creation support submitted to MS for decision</v>
      </c>
      <c r="M16" s="30">
        <v>46142</v>
      </c>
      <c r="N16" s="13" t="str">
        <v>Finalized</v>
      </c>
      <c r="O16" s="13">
        <v>0</v>
      </c>
      <c r="P16" s="13"/>
      <c r="Q16" s="13"/>
      <c r="R16" s="13"/>
      <c r="S16" s="31"/>
      <c r="U16">
        <f t="shared" si="0"/>
        <v>2</v>
      </c>
      <c r="AC16" t="str">
        <v>ED WFP</v>
      </c>
      <c r="AD16" t="str">
        <v>EOSG (SA)</v>
      </c>
    </row>
    <row r="17" spans="1:30" ht="32">
      <c r="A17">
        <v>19</v>
      </c>
      <c r="B17" t="str">
        <v>WP19: Mandate creation support</v>
      </c>
      <c r="C17">
        <v>81</v>
      </c>
      <c r="D17" t="str">
        <v>Prepare an action plan (as part of item 80) to strengthen support by UN entities to coordinate and promote greater visibility across mandating bodies</v>
      </c>
      <c r="E17">
        <v>0</v>
      </c>
      <c r="F17" t="str">
        <v>USG Policy; USG DGACM</v>
      </c>
      <c r="G17" t="str">
        <v>Guy Ryder, USG for Policy, guy.ryder@un.org;
Movses Abelian, USG DGACM, abelian@un.org</v>
      </c>
      <c r="H17" t="str">
        <v>Melanie Ramjoue, Senior Programme Officer, EOSG, ramjoue@un.org;
Wannes Lint, Intergovernmental Affairs Officer, DGACM, lint@un.org</v>
      </c>
      <c r="I17" t="str">
        <v>EOSG (USG Policy); DGACM</v>
      </c>
      <c r="J17" s="25" t="str">
        <v>Mapping of available support of mandate creation system-wide finalized</v>
      </c>
      <c r="K17" s="3">
        <v>46112</v>
      </c>
      <c r="L17" s="3" t="str">
        <v>A website to coordinate and promote greater visibility across mandating bodies launched</v>
      </c>
      <c r="M17" s="3">
        <v>46264</v>
      </c>
      <c r="N17" t="str">
        <v>Finalized</v>
      </c>
      <c r="O17">
        <v>0</v>
      </c>
      <c r="U17">
        <f t="shared" si="0"/>
        <v>2</v>
      </c>
      <c r="AC17" t="str">
        <v>ES ECA</v>
      </c>
      <c r="AD17" t="str">
        <v>EOSG (USG Policy)</v>
      </c>
    </row>
    <row r="18" spans="1:30" ht="32">
      <c r="A18">
        <v>19</v>
      </c>
      <c r="B18" t="str">
        <v>WP19: Mandate creation support</v>
      </c>
      <c r="C18">
        <v>83</v>
      </c>
      <c r="D18" t="str">
        <v>Prepare an action plan to complement the estimates of programme budget implications (PBI) for new mandates with additional info related to activities across the UN System</v>
      </c>
      <c r="E18">
        <v>0</v>
      </c>
      <c r="F18" t="str">
        <v>USG Policy; USG DGACM</v>
      </c>
      <c r="G18" t="str">
        <v>Guy Ryder, USG for Policy, guy.ryder@un.org;
Movses Abelian, USG DGACM, abelian@un.org</v>
      </c>
      <c r="H18" t="str">
        <v>Melanie Ramjoue, Senior Programme Officer, EOSG, ramjoue@un.org;
Wannes Lint, Intergovernmental Affairs Officer, DGACM, lint@un.org;
OPPFB - TBC</v>
      </c>
      <c r="I18" t="str">
        <v>EOSG (USG Policy); DGACM; DMSPC</v>
      </c>
      <c r="J18" s="25" t="str">
        <v>Initial concept note finalized between EOSG, DGACM, and OPPFB</v>
      </c>
      <c r="K18" s="3">
        <v>46112</v>
      </c>
      <c r="L18" s="3" t="str">
        <v>Proposals for enhanced mandate creation support submitted to MS for decision</v>
      </c>
      <c r="M18" s="3">
        <v>46142</v>
      </c>
      <c r="N18" t="str">
        <v>Finalized</v>
      </c>
      <c r="O18">
        <v>0</v>
      </c>
      <c r="U18">
        <f t="shared" si="0"/>
        <v>3</v>
      </c>
      <c r="AC18" t="str">
        <v>ES UNFCCC</v>
      </c>
      <c r="AD18" t="str">
        <v>ESCWA</v>
      </c>
    </row>
    <row r="19" spans="1:30" ht="48">
      <c r="A19">
        <v>29</v>
      </c>
      <c r="B19" t="str">
        <v>WP29: Mandate registries and tools</v>
      </c>
      <c r="C19">
        <v>79</v>
      </c>
      <c r="D19" t="str">
        <v>For the UN Secretariat, refine mandates.un.org to serve as sustainable registry; Other entities to build out similar registries for their mandating bodies</v>
      </c>
      <c r="E19">
        <v>0</v>
      </c>
      <c r="F19" t="str">
        <v>USG Policy</v>
      </c>
      <c r="G19" t="str">
        <v>Library NY, Global Pulse, OPPFB</v>
      </c>
      <c r="H19">
        <v>0</v>
      </c>
      <c r="I19" t="str">
        <v>EOSG (USG Policy)</v>
      </c>
      <c r="J19" s="25" t="str">
        <v>mandates.un.org updated with data for the 2027 Programme Budget and 2026/27 Peacekeeping Budgets and a proposal for sustainability finalized</v>
      </c>
      <c r="K19" s="3">
        <v>46096</v>
      </c>
      <c r="L19" s="3" t="str">
        <v>mandates.un.org includes full text for 80 percent of mandate sources and links to mandate registries for at least 10 non-UN Secretariat entities</v>
      </c>
      <c r="M19" s="3">
        <v>46280</v>
      </c>
      <c r="N19" t="str">
        <v>Finalized</v>
      </c>
      <c r="O19">
        <v>0</v>
      </c>
      <c r="U19">
        <f t="shared" si="0"/>
        <v>1</v>
      </c>
      <c r="AC19" t="str">
        <v>HC OHCHR</v>
      </c>
      <c r="AD19" t="str">
        <v>FAO</v>
      </c>
    </row>
    <row r="20" spans="1:30" ht="64">
      <c r="A20">
        <v>29</v>
      </c>
      <c r="B20" t="str">
        <v>WP29: Mandate registries and tools</v>
      </c>
      <c r="C20">
        <v>82</v>
      </c>
      <c r="D20" t="str">
        <v>Develop tools to assist in research for mandate creation</v>
      </c>
      <c r="E20">
        <v>0</v>
      </c>
      <c r="F20" t="str">
        <v>USG Policy</v>
      </c>
      <c r="G20" t="str">
        <v>Library NY, Global Pulse</v>
      </c>
      <c r="H20">
        <v>0</v>
      </c>
      <c r="I20" t="str">
        <v>EOSG (USG Policy)</v>
      </c>
      <c r="J20" s="25" t="str">
        <v>Potential approaches consulted with stakeholders via technical briefings and surveys, systemchart.un.org launched, and open.un.org updated</v>
      </c>
      <c r="K20" s="3">
        <v>46096</v>
      </c>
      <c r="L20" s="3" t="str">
        <v>Improved portfolio of tools to support Member States across the mandate lifecycle available, including to provide consolidated, timely, and comparable information on mandates, resources, activities, and results across the UN system</v>
      </c>
      <c r="M20" s="3">
        <v>46280</v>
      </c>
      <c r="N20" t="str">
        <v>Finalized</v>
      </c>
      <c r="O20">
        <v>0</v>
      </c>
      <c r="U20">
        <f t="shared" si="0"/>
        <v>1</v>
      </c>
      <c r="AC20" t="str">
        <v>Rector UNU</v>
      </c>
      <c r="AD20" t="str">
        <v>HLCM</v>
      </c>
    </row>
    <row r="21" spans="1:30">
      <c r="K21" s="3"/>
      <c r="L21" s="3"/>
      <c r="M21" s="3"/>
      <c r="U21" t="str">
        <f t="shared" si="0"/>
        <v/>
      </c>
      <c r="AC21" t="str">
        <v>SA Reform</v>
      </c>
      <c r="AD21" t="str">
        <v>ICAO</v>
      </c>
    </row>
    <row r="22" spans="1:30">
      <c r="K22" s="3"/>
      <c r="L22" s="3"/>
      <c r="M22" s="3"/>
      <c r="U22" t="str">
        <f t="shared" si="0"/>
        <v/>
      </c>
      <c r="AC22" t="str">
        <v>SG</v>
      </c>
      <c r="AD22" t="str">
        <v>IFAD</v>
      </c>
    </row>
    <row r="23" spans="1:30">
      <c r="K23" s="3"/>
      <c r="L23" s="3"/>
      <c r="M23" s="3"/>
      <c r="U23" t="str">
        <f t="shared" si="0"/>
        <v/>
      </c>
      <c r="AC23" t="str">
        <v>SG ITU</v>
      </c>
      <c r="AD23" t="str">
        <v>ILO</v>
      </c>
    </row>
    <row r="24" spans="1:30">
      <c r="K24" s="3"/>
      <c r="L24" s="3"/>
      <c r="M24" s="3"/>
      <c r="U24" t="str">
        <f t="shared" si="0"/>
        <v/>
      </c>
      <c r="AC24" t="str">
        <v>SG UNCTAD</v>
      </c>
      <c r="AD24" t="str">
        <v>IOM</v>
      </c>
    </row>
    <row r="25" spans="1:30">
      <c r="K25" s="3"/>
      <c r="L25" s="3"/>
      <c r="M25" s="3"/>
      <c r="U25" t="str">
        <f t="shared" si="0"/>
        <v/>
      </c>
      <c r="AC25" t="str">
        <v>USG DESA</v>
      </c>
      <c r="AD25" t="str">
        <v>ITC</v>
      </c>
    </row>
    <row r="26" spans="1:30">
      <c r="K26" s="3"/>
      <c r="L26" s="3"/>
      <c r="M26" s="3"/>
      <c r="U26" t="str">
        <f t="shared" si="0"/>
        <v/>
      </c>
      <c r="AC26" t="str">
        <v>USG DGACM</v>
      </c>
      <c r="AD26" t="str">
        <v>ITU</v>
      </c>
    </row>
    <row r="27" spans="1:30">
      <c r="K27" s="3"/>
      <c r="L27" s="3"/>
      <c r="M27" s="3"/>
      <c r="U27" t="str">
        <f t="shared" si="0"/>
        <v/>
      </c>
      <c r="AC27" t="str">
        <v>USG DMSPC</v>
      </c>
      <c r="AD27" t="str">
        <v>N/A</v>
      </c>
    </row>
    <row r="28" spans="1:30">
      <c r="K28" s="3"/>
      <c r="L28" s="3"/>
      <c r="M28" s="3"/>
      <c r="U28" t="str">
        <f t="shared" si="0"/>
        <v/>
      </c>
      <c r="AC28" t="str">
        <v>USG DOS</v>
      </c>
      <c r="AD28" t="str">
        <v>OCHA</v>
      </c>
    </row>
    <row r="29" spans="1:30">
      <c r="K29" s="3"/>
      <c r="L29" s="3"/>
      <c r="M29" s="3"/>
      <c r="U29" t="str">
        <f t="shared" si="0"/>
        <v/>
      </c>
      <c r="AC29" t="str">
        <v>USG DPO</v>
      </c>
      <c r="AD29" t="str">
        <v>ODA</v>
      </c>
    </row>
    <row r="30" spans="1:30">
      <c r="K30" s="3"/>
      <c r="L30" s="3"/>
      <c r="M30" s="3"/>
      <c r="U30" t="str">
        <f t="shared" si="0"/>
        <v/>
      </c>
      <c r="AC30" t="str">
        <v>USG DPPA</v>
      </c>
      <c r="AD30" t="str">
        <v>OHCHR</v>
      </c>
    </row>
    <row r="31" spans="1:30">
      <c r="K31" s="3"/>
      <c r="L31" s="3"/>
      <c r="M31" s="3"/>
      <c r="U31" t="str">
        <f t="shared" si="0"/>
        <v/>
      </c>
      <c r="AC31" t="str">
        <v>USG OCHA</v>
      </c>
      <c r="AD31" t="str">
        <v>OICT</v>
      </c>
    </row>
    <row r="32" spans="1:30">
      <c r="K32" s="3"/>
      <c r="L32" s="3"/>
      <c r="M32" s="3"/>
      <c r="U32" t="str">
        <f t="shared" si="0"/>
        <v/>
      </c>
      <c r="AC32" t="str">
        <v>USG OCT</v>
      </c>
      <c r="AD32" t="str">
        <v>OIOS</v>
      </c>
    </row>
    <row r="33" spans="11:30">
      <c r="K33" s="3"/>
      <c r="L33" s="3"/>
      <c r="M33" s="3"/>
      <c r="U33" t="str">
        <f t="shared" si="0"/>
        <v/>
      </c>
      <c r="AC33" t="str">
        <v>USG ODA</v>
      </c>
      <c r="AD33" t="str">
        <v>OLA</v>
      </c>
    </row>
    <row r="34" spans="11:30">
      <c r="K34" s="3"/>
      <c r="L34" s="3"/>
      <c r="M34" s="3"/>
      <c r="U34" t="str">
        <f t="shared" si="0"/>
        <v/>
      </c>
      <c r="AC34" t="str">
        <v>USG Policy</v>
      </c>
      <c r="AD34" t="str">
        <v>OSRSG CAAC</v>
      </c>
    </row>
    <row r="35" spans="11:30">
      <c r="K35" s="3"/>
      <c r="L35" s="3"/>
      <c r="M35" s="3"/>
      <c r="U35" t="str">
        <f t="shared" si="0"/>
        <v/>
      </c>
      <c r="AC35" t="str">
        <v>USG UNEP</v>
      </c>
      <c r="AD35" t="str">
        <v>OSRSG SVC</v>
      </c>
    </row>
    <row r="36" spans="11:30">
      <c r="K36" s="3"/>
      <c r="L36" s="3"/>
      <c r="M36" s="3"/>
      <c r="U36" t="str">
        <f t="shared" si="0"/>
        <v/>
      </c>
      <c r="AC36" t="str">
        <v>USG UNODC</v>
      </c>
      <c r="AD36" t="str">
        <v>RSCE</v>
      </c>
    </row>
    <row r="37" spans="11:30">
      <c r="K37" s="3"/>
      <c r="L37" s="3"/>
      <c r="M37" s="3"/>
      <c r="U37" t="str">
        <f t="shared" si="0"/>
        <v/>
      </c>
      <c r="AD37" t="str">
        <v>UN Women</v>
      </c>
    </row>
    <row r="38" spans="11:30">
      <c r="K38" s="3"/>
      <c r="L38" s="3"/>
      <c r="M38" s="3"/>
      <c r="U38" t="str">
        <f t="shared" ref="U38:U69" si="1">IF(TRIM(H38)="","",1+LEN(TRIM(H38))-LEN(SUBSTITUTE(TRIM(H38),";","")))</f>
        <v/>
      </c>
      <c r="AD38" t="str">
        <v>UNAIDS</v>
      </c>
    </row>
    <row r="39" spans="11:30">
      <c r="K39" s="3"/>
      <c r="L39" s="3"/>
      <c r="M39" s="3"/>
      <c r="U39" t="str">
        <f t="shared" si="1"/>
        <v/>
      </c>
      <c r="AD39" t="str">
        <v>UNCTAD</v>
      </c>
    </row>
    <row r="40" spans="11:30">
      <c r="K40" s="3"/>
      <c r="L40" s="3"/>
      <c r="M40" s="3"/>
      <c r="U40" t="str">
        <f t="shared" si="1"/>
        <v/>
      </c>
      <c r="AD40" t="str">
        <v>UNDP</v>
      </c>
    </row>
    <row r="41" spans="11:30">
      <c r="K41" s="3"/>
      <c r="L41" s="3"/>
      <c r="M41" s="3"/>
      <c r="U41" t="str">
        <f t="shared" si="1"/>
        <v/>
      </c>
      <c r="AD41" t="str">
        <v>UNEP</v>
      </c>
    </row>
    <row r="42" spans="11:30">
      <c r="K42" s="3"/>
      <c r="L42" s="3"/>
      <c r="M42" s="3"/>
      <c r="U42" t="str">
        <f t="shared" si="1"/>
        <v/>
      </c>
      <c r="AD42" t="str">
        <v>UNESCO</v>
      </c>
    </row>
    <row r="43" spans="11:30">
      <c r="K43" s="3"/>
      <c r="L43" s="3"/>
      <c r="M43" s="3"/>
      <c r="U43" t="str">
        <f t="shared" si="1"/>
        <v/>
      </c>
      <c r="AD43" t="str">
        <v>UNFCCC</v>
      </c>
    </row>
    <row r="44" spans="11:30">
      <c r="K44" s="3"/>
      <c r="L44" s="3"/>
      <c r="M44" s="3"/>
      <c r="U44" t="str">
        <f t="shared" si="1"/>
        <v/>
      </c>
      <c r="AD44" t="str">
        <v>UNFPA</v>
      </c>
    </row>
    <row r="45" spans="11:30">
      <c r="K45" s="3"/>
      <c r="L45" s="3"/>
      <c r="M45" s="3"/>
      <c r="U45" t="str">
        <f t="shared" si="1"/>
        <v/>
      </c>
      <c r="AD45" t="str">
        <v>UNHCR</v>
      </c>
    </row>
    <row r="46" spans="11:30">
      <c r="K46" s="3"/>
      <c r="L46" s="3"/>
      <c r="M46" s="3"/>
      <c r="U46" t="str">
        <f t="shared" si="1"/>
        <v/>
      </c>
      <c r="AD46" t="str">
        <v>UNICEF</v>
      </c>
    </row>
    <row r="47" spans="11:30">
      <c r="K47" s="3"/>
      <c r="L47" s="3"/>
      <c r="M47" s="3"/>
      <c r="U47" t="str">
        <f t="shared" si="1"/>
        <v/>
      </c>
      <c r="AD47" t="str">
        <v>UNIDO</v>
      </c>
    </row>
    <row r="48" spans="11:30">
      <c r="K48" s="3"/>
      <c r="L48" s="3"/>
      <c r="M48" s="3"/>
      <c r="U48" t="str">
        <f t="shared" si="1"/>
        <v/>
      </c>
      <c r="AD48" t="str">
        <v>UNITAR</v>
      </c>
    </row>
    <row r="49" spans="11:30">
      <c r="K49" s="3"/>
      <c r="L49" s="3"/>
      <c r="M49" s="3"/>
      <c r="U49" t="str">
        <f t="shared" si="1"/>
        <v/>
      </c>
      <c r="AD49" t="str">
        <v>UNOCT</v>
      </c>
    </row>
    <row r="50" spans="11:30">
      <c r="K50" s="3"/>
      <c r="L50" s="3"/>
      <c r="M50" s="3"/>
      <c r="U50" t="str">
        <f t="shared" si="1"/>
        <v/>
      </c>
      <c r="AD50" t="str">
        <v>UNODC</v>
      </c>
    </row>
    <row r="51" spans="11:30">
      <c r="K51" s="3"/>
      <c r="L51" s="3"/>
      <c r="M51" s="3"/>
      <c r="U51" t="str">
        <f t="shared" si="1"/>
        <v/>
      </c>
      <c r="AD51" t="str">
        <v>UNOPS</v>
      </c>
    </row>
    <row r="52" spans="11:30">
      <c r="K52" s="3"/>
      <c r="L52" s="3"/>
      <c r="M52" s="3"/>
      <c r="U52" t="str">
        <f t="shared" si="1"/>
        <v/>
      </c>
      <c r="AD52" t="str">
        <v>UNSDG</v>
      </c>
    </row>
    <row r="53" spans="11:30">
      <c r="K53" s="3"/>
      <c r="L53" s="3"/>
      <c r="M53" s="3"/>
      <c r="U53" t="str">
        <f t="shared" si="1"/>
        <v/>
      </c>
      <c r="AD53" t="str">
        <v>UNSSC</v>
      </c>
    </row>
    <row r="54" spans="11:30">
      <c r="K54" s="3"/>
      <c r="L54" s="3"/>
      <c r="M54" s="3"/>
      <c r="U54" t="str">
        <f t="shared" si="1"/>
        <v/>
      </c>
      <c r="AD54" t="str">
        <v>UNU</v>
      </c>
    </row>
    <row r="55" spans="11:30">
      <c r="K55" s="3"/>
      <c r="L55" s="3"/>
      <c r="M55" s="3"/>
      <c r="U55" t="str">
        <f t="shared" si="1"/>
        <v/>
      </c>
      <c r="AD55" t="str">
        <v>WFP</v>
      </c>
    </row>
    <row r="56" spans="11:30">
      <c r="K56" s="3"/>
      <c r="L56" s="3"/>
      <c r="M56" s="3"/>
      <c r="U56" t="str">
        <f t="shared" si="1"/>
        <v/>
      </c>
      <c r="AD56" t="str">
        <v>WHO</v>
      </c>
    </row>
    <row r="57" spans="11:30">
      <c r="K57" s="3"/>
      <c r="L57" s="3"/>
      <c r="M57" s="3"/>
      <c r="U57" t="str">
        <f t="shared" si="1"/>
        <v/>
      </c>
      <c r="AD57" t="str">
        <v>WIPO</v>
      </c>
    </row>
    <row r="58" spans="11:30">
      <c r="K58" s="3"/>
      <c r="L58" s="3"/>
      <c r="M58" s="3"/>
      <c r="U58" t="str">
        <f t="shared" si="1"/>
        <v/>
      </c>
      <c r="AD58" t="str">
        <v>WMO</v>
      </c>
    </row>
    <row r="59" spans="11:30">
      <c r="K59" s="3"/>
      <c r="L59" s="3"/>
      <c r="M59" s="3"/>
      <c r="U59" t="str">
        <f t="shared" si="1"/>
        <v/>
      </c>
    </row>
    <row r="60" spans="11:30">
      <c r="K60" s="3"/>
      <c r="L60" s="3"/>
      <c r="M60" s="3"/>
      <c r="U60" t="str">
        <f t="shared" si="1"/>
        <v/>
      </c>
    </row>
    <row r="61" spans="11:30">
      <c r="K61" s="3"/>
      <c r="L61" s="3"/>
      <c r="M61" s="3"/>
      <c r="U61" t="str">
        <f t="shared" si="1"/>
        <v/>
      </c>
    </row>
    <row r="62" spans="11:30">
      <c r="K62" s="3"/>
      <c r="L62" s="3"/>
      <c r="M62" s="3"/>
      <c r="U62" t="str">
        <f t="shared" si="1"/>
        <v/>
      </c>
    </row>
    <row r="63" spans="11:30">
      <c r="K63" s="3"/>
      <c r="L63" s="3"/>
      <c r="M63" s="3"/>
      <c r="U63" t="str">
        <f t="shared" si="1"/>
        <v/>
      </c>
    </row>
    <row r="64" spans="11:30">
      <c r="K64" s="3"/>
      <c r="L64" s="3"/>
      <c r="M64" s="3"/>
      <c r="U64" t="str">
        <f t="shared" si="1"/>
        <v/>
      </c>
    </row>
    <row r="65" spans="11:21">
      <c r="K65" s="3"/>
      <c r="L65" s="3"/>
      <c r="M65" s="3"/>
      <c r="U65" t="str">
        <f t="shared" si="1"/>
        <v/>
      </c>
    </row>
    <row r="66" spans="11:21">
      <c r="K66" s="3"/>
      <c r="L66" s="3"/>
      <c r="M66" s="3"/>
      <c r="U66" t="str">
        <f t="shared" si="1"/>
        <v/>
      </c>
    </row>
    <row r="67" spans="11:21">
      <c r="K67" s="3"/>
      <c r="L67" s="3"/>
      <c r="M67" s="3"/>
      <c r="U67" t="str">
        <f t="shared" si="1"/>
        <v/>
      </c>
    </row>
    <row r="68" spans="11:21">
      <c r="K68" s="3"/>
      <c r="L68" s="3"/>
      <c r="M68" s="3"/>
      <c r="U68" t="str">
        <f t="shared" si="1"/>
        <v/>
      </c>
    </row>
    <row r="69" spans="11:21">
      <c r="K69" s="3"/>
      <c r="L69" s="3"/>
      <c r="M69" s="3"/>
      <c r="U69" t="str">
        <f t="shared" si="1"/>
        <v/>
      </c>
    </row>
    <row r="70" spans="11:21">
      <c r="K70" s="3"/>
      <c r="L70" s="3"/>
      <c r="M70" s="3"/>
      <c r="U70" t="str">
        <f t="shared" ref="U70:U97" si="2">IF(TRIM(H70)="","",1+LEN(TRIM(H70))-LEN(SUBSTITUTE(TRIM(H70),";","")))</f>
        <v/>
      </c>
    </row>
    <row r="71" spans="11:21">
      <c r="K71" s="3"/>
      <c r="L71" s="3"/>
      <c r="M71" s="3"/>
      <c r="U71" t="str">
        <f t="shared" si="2"/>
        <v/>
      </c>
    </row>
    <row r="72" spans="11:21">
      <c r="K72" s="3"/>
      <c r="L72" s="3"/>
      <c r="M72" s="3"/>
      <c r="U72" t="str">
        <f t="shared" si="2"/>
        <v/>
      </c>
    </row>
    <row r="73" spans="11:21">
      <c r="K73" s="3"/>
      <c r="L73" s="3"/>
      <c r="M73" s="3"/>
      <c r="U73" t="str">
        <f t="shared" si="2"/>
        <v/>
      </c>
    </row>
    <row r="74" spans="11:21">
      <c r="K74" s="3"/>
      <c r="L74" s="3"/>
      <c r="M74" s="3"/>
      <c r="U74" t="str">
        <f t="shared" si="2"/>
        <v/>
      </c>
    </row>
    <row r="75" spans="11:21">
      <c r="K75" s="3"/>
      <c r="L75" s="3"/>
      <c r="M75" s="3"/>
      <c r="U75" t="str">
        <f t="shared" si="2"/>
        <v/>
      </c>
    </row>
    <row r="76" spans="11:21">
      <c r="K76" s="3"/>
      <c r="L76" s="3"/>
      <c r="M76" s="3"/>
      <c r="U76" t="str">
        <f t="shared" si="2"/>
        <v/>
      </c>
    </row>
    <row r="77" spans="11:21">
      <c r="K77" s="3"/>
      <c r="L77" s="3"/>
      <c r="M77" s="3"/>
      <c r="U77" t="str">
        <f t="shared" si="2"/>
        <v/>
      </c>
    </row>
    <row r="78" spans="11:21">
      <c r="K78" s="3"/>
      <c r="L78" s="3"/>
      <c r="M78" s="3"/>
      <c r="U78" t="str">
        <f t="shared" si="2"/>
        <v/>
      </c>
    </row>
    <row r="79" spans="11:21">
      <c r="K79" s="3"/>
      <c r="L79" s="3"/>
      <c r="M79" s="3"/>
      <c r="U79" t="str">
        <f t="shared" si="2"/>
        <v/>
      </c>
    </row>
    <row r="80" spans="11:21">
      <c r="K80" s="3"/>
      <c r="L80" s="3"/>
      <c r="M80" s="3"/>
      <c r="U80" t="str">
        <f t="shared" si="2"/>
        <v/>
      </c>
    </row>
    <row r="81" spans="11:21">
      <c r="K81" s="3"/>
      <c r="L81" s="3"/>
      <c r="M81" s="3"/>
      <c r="U81" t="str">
        <f t="shared" si="2"/>
        <v/>
      </c>
    </row>
    <row r="82" spans="11:21">
      <c r="K82" s="3"/>
      <c r="L82" s="3"/>
      <c r="M82" s="3"/>
      <c r="U82" t="str">
        <f t="shared" si="2"/>
        <v/>
      </c>
    </row>
    <row r="83" spans="11:21">
      <c r="K83" s="3"/>
      <c r="L83" s="3"/>
      <c r="M83" s="3"/>
      <c r="U83" t="str">
        <f t="shared" si="2"/>
        <v/>
      </c>
    </row>
    <row r="84" spans="11:21">
      <c r="K84" s="3"/>
      <c r="L84" s="3"/>
      <c r="M84" s="3"/>
      <c r="U84" t="str">
        <f t="shared" si="2"/>
        <v/>
      </c>
    </row>
    <row r="85" spans="11:21">
      <c r="K85" s="3"/>
      <c r="L85" s="3"/>
      <c r="M85" s="3"/>
      <c r="U85" t="str">
        <f t="shared" si="2"/>
        <v/>
      </c>
    </row>
    <row r="86" spans="11:21">
      <c r="K86" s="3"/>
      <c r="L86" s="3"/>
      <c r="M86" s="3"/>
      <c r="U86" t="str">
        <f t="shared" si="2"/>
        <v/>
      </c>
    </row>
    <row r="87" spans="11:21">
      <c r="K87" s="3"/>
      <c r="L87" s="3"/>
      <c r="M87" s="3"/>
      <c r="U87" t="str">
        <f t="shared" si="2"/>
        <v/>
      </c>
    </row>
    <row r="88" spans="11:21">
      <c r="K88" s="3"/>
      <c r="L88" s="3"/>
      <c r="M88" s="3"/>
      <c r="U88" t="str">
        <f t="shared" si="2"/>
        <v/>
      </c>
    </row>
    <row r="89" spans="11:21">
      <c r="K89" s="3"/>
      <c r="L89" s="3"/>
      <c r="M89" s="3"/>
      <c r="U89" t="str">
        <f t="shared" si="2"/>
        <v/>
      </c>
    </row>
    <row r="90" spans="11:21">
      <c r="K90" s="3"/>
      <c r="L90" s="3"/>
      <c r="M90" s="3"/>
      <c r="U90" t="str">
        <f t="shared" si="2"/>
        <v/>
      </c>
    </row>
    <row r="91" spans="11:21">
      <c r="K91" s="3"/>
      <c r="L91" s="3"/>
      <c r="M91" s="3"/>
      <c r="U91" t="str">
        <f t="shared" si="2"/>
        <v/>
      </c>
    </row>
    <row r="92" spans="11:21">
      <c r="K92" s="3"/>
      <c r="L92" s="3"/>
      <c r="M92" s="3"/>
      <c r="U92" t="str">
        <f t="shared" si="2"/>
        <v/>
      </c>
    </row>
    <row r="93" spans="11:21">
      <c r="K93" s="3"/>
      <c r="L93" s="3"/>
      <c r="M93" s="3"/>
      <c r="U93" t="str">
        <f t="shared" si="2"/>
        <v/>
      </c>
    </row>
    <row r="94" spans="11:21">
      <c r="K94" s="3"/>
      <c r="L94" s="3"/>
      <c r="M94" s="3"/>
      <c r="U94" t="str">
        <f t="shared" si="2"/>
        <v/>
      </c>
    </row>
    <row r="95" spans="11:21">
      <c r="K95" s="3"/>
      <c r="L95" s="3"/>
      <c r="M95" s="3"/>
      <c r="U95" t="str">
        <f t="shared" si="2"/>
        <v/>
      </c>
    </row>
    <row r="96" spans="11:21">
      <c r="K96" s="3"/>
      <c r="L96" s="3"/>
      <c r="M96" s="3"/>
      <c r="U96" t="str">
        <f t="shared" si="2"/>
        <v/>
      </c>
    </row>
    <row r="97" spans="12:21">
      <c r="L97" s="3"/>
      <c r="U97" t="str">
        <f t="shared" si="2"/>
        <v/>
      </c>
    </row>
    <row r="98" spans="12:21">
      <c r="L98" s="3"/>
    </row>
    <row r="99" spans="12:21">
      <c r="L99" s="3"/>
    </row>
    <row r="100" spans="12:21">
      <c r="L100" s="3"/>
    </row>
    <row r="101" spans="12:21">
      <c r="L101" s="3"/>
    </row>
    <row r="102" spans="12:21">
      <c r="L102" s="3"/>
    </row>
    <row r="103" spans="12:21">
      <c r="L103" s="3"/>
    </row>
    <row r="104" spans="12:21">
      <c r="L104" s="3"/>
    </row>
    <row r="105" spans="12:21">
      <c r="L105" s="3"/>
    </row>
    <row r="106" spans="12:21">
      <c r="L106" s="3"/>
    </row>
    <row r="107" spans="12:21">
      <c r="L107" s="3"/>
    </row>
    <row r="108" spans="12:21">
      <c r="L108" s="3"/>
    </row>
    <row r="109" spans="12:21">
      <c r="L109" s="3"/>
    </row>
    <row r="110" spans="12:21">
      <c r="L110" s="3"/>
    </row>
    <row r="111" spans="12:21">
      <c r="L111" s="3"/>
    </row>
    <row r="112" spans="12:21">
      <c r="L112" s="3"/>
    </row>
    <row r="113" spans="12:12">
      <c r="L113" s="3"/>
    </row>
    <row r="114" spans="12:12">
      <c r="L114" s="3"/>
    </row>
    <row r="115" spans="12:12">
      <c r="L115" s="3"/>
    </row>
    <row r="116" spans="12:12">
      <c r="L116" s="3"/>
    </row>
    <row r="117" spans="12:12">
      <c r="L117" s="3"/>
    </row>
    <row r="118" spans="12:12">
      <c r="L118" s="3"/>
    </row>
    <row r="119" spans="12:12">
      <c r="L119" s="3"/>
    </row>
    <row r="120" spans="12:12">
      <c r="L120" s="3"/>
    </row>
    <row r="121" spans="12:12">
      <c r="L121" s="3"/>
    </row>
    <row r="122" spans="12:12">
      <c r="L122" s="3"/>
    </row>
    <row r="123" spans="12:12">
      <c r="L123" s="3"/>
    </row>
    <row r="124" spans="12:12">
      <c r="L124" s="3"/>
    </row>
    <row r="125" spans="12:12">
      <c r="L125" s="3"/>
    </row>
    <row r="126" spans="12:12">
      <c r="L126" s="3"/>
    </row>
    <row r="127" spans="12:12">
      <c r="L127" s="3"/>
    </row>
    <row r="128" spans="12:12">
      <c r="L128" s="3"/>
    </row>
    <row r="129" spans="12:12">
      <c r="L129" s="3"/>
    </row>
    <row r="130" spans="12:12">
      <c r="L130" s="3"/>
    </row>
    <row r="131" spans="12:12">
      <c r="L131" s="3"/>
    </row>
    <row r="132" spans="12:12">
      <c r="L132" s="3"/>
    </row>
    <row r="133" spans="12:12">
      <c r="L133" s="3"/>
    </row>
    <row r="134" spans="12:12">
      <c r="L134" s="3"/>
    </row>
    <row r="135" spans="12:12">
      <c r="L135" s="3"/>
    </row>
    <row r="136" spans="12:12">
      <c r="L136" s="3"/>
    </row>
    <row r="137" spans="12:12">
      <c r="L137" s="3"/>
    </row>
    <row r="138" spans="12:12">
      <c r="L138" s="3"/>
    </row>
    <row r="139" spans="12:12">
      <c r="L139" s="3"/>
    </row>
    <row r="140" spans="12:12">
      <c r="L140" s="3"/>
    </row>
    <row r="141" spans="12:12">
      <c r="L141" s="3"/>
    </row>
    <row r="142" spans="12:12">
      <c r="L142" s="3"/>
    </row>
    <row r="143" spans="12:12">
      <c r="L143" s="3"/>
    </row>
    <row r="144" spans="12:12">
      <c r="L144" s="3"/>
    </row>
    <row r="145" spans="12:12">
      <c r="L145" s="3"/>
    </row>
    <row r="146" spans="12:12">
      <c r="L146" s="3"/>
    </row>
    <row r="147" spans="12:12">
      <c r="L147" s="3"/>
    </row>
    <row r="148" spans="12:12">
      <c r="L148" s="3"/>
    </row>
    <row r="149" spans="12:12">
      <c r="L149" s="3"/>
    </row>
    <row r="150" spans="12:12">
      <c r="L150" s="3"/>
    </row>
    <row r="151" spans="12:12">
      <c r="L151" s="3"/>
    </row>
    <row r="152" spans="12:12">
      <c r="L152" s="3"/>
    </row>
    <row r="153" spans="12:12">
      <c r="L153" s="3"/>
    </row>
    <row r="154" spans="12:12">
      <c r="L154" s="3"/>
    </row>
    <row r="155" spans="12:12">
      <c r="L155" s="3"/>
    </row>
    <row r="156" spans="12:12">
      <c r="L156" s="3"/>
    </row>
    <row r="157" spans="12:12">
      <c r="L157" s="3"/>
    </row>
    <row r="158" spans="12:12">
      <c r="L158" s="3"/>
    </row>
    <row r="159" spans="12:12">
      <c r="L159" s="3"/>
    </row>
    <row r="160" spans="12:12">
      <c r="L160" s="3"/>
    </row>
    <row r="161" spans="12:12">
      <c r="L161" s="3"/>
    </row>
    <row r="162" spans="12:12">
      <c r="L162" s="3"/>
    </row>
    <row r="163" spans="12:12">
      <c r="L163" s="3"/>
    </row>
    <row r="164" spans="12:12">
      <c r="L164" s="3"/>
    </row>
    <row r="165" spans="12:12">
      <c r="L165" s="3"/>
    </row>
    <row r="166" spans="12:12">
      <c r="L166" s="3"/>
    </row>
    <row r="167" spans="12:12">
      <c r="L167" s="3"/>
    </row>
    <row r="168" spans="12:12">
      <c r="L168" s="3"/>
    </row>
    <row r="169" spans="12:12">
      <c r="L169" s="3"/>
    </row>
    <row r="170" spans="12:12">
      <c r="L170" s="3"/>
    </row>
    <row r="171" spans="12:12">
      <c r="L171" s="3"/>
    </row>
    <row r="172" spans="12:12">
      <c r="L172" s="3"/>
    </row>
    <row r="173" spans="12:12">
      <c r="L173" s="3"/>
    </row>
    <row r="174" spans="12:12">
      <c r="L174" s="3"/>
    </row>
    <row r="175" spans="12:12">
      <c r="L175" s="3"/>
    </row>
    <row r="176" spans="12:12">
      <c r="L176" s="3"/>
    </row>
    <row r="177" spans="12:12">
      <c r="L177" s="3"/>
    </row>
    <row r="178" spans="12:12">
      <c r="L178" s="3"/>
    </row>
    <row r="179" spans="12:12">
      <c r="L179" s="3"/>
    </row>
    <row r="180" spans="12:12">
      <c r="L180" s="3"/>
    </row>
    <row r="181" spans="12:12">
      <c r="L181" s="3"/>
    </row>
    <row r="182" spans="12:12">
      <c r="L182" s="3"/>
    </row>
    <row r="183" spans="12:12">
      <c r="L183" s="3"/>
    </row>
    <row r="184" spans="12:12">
      <c r="L184" s="3"/>
    </row>
    <row r="185" spans="12:12">
      <c r="L185" s="3"/>
    </row>
    <row r="186" spans="12:12">
      <c r="L186" s="3"/>
    </row>
    <row r="187" spans="12:12">
      <c r="L187" s="3"/>
    </row>
    <row r="188" spans="12:12">
      <c r="L188" s="3"/>
    </row>
    <row r="189" spans="12:12">
      <c r="L189" s="3"/>
    </row>
    <row r="190" spans="12:12">
      <c r="L190" s="3"/>
    </row>
    <row r="191" spans="12:12">
      <c r="L191" s="3"/>
    </row>
    <row r="192" spans="12:12">
      <c r="L192" s="3"/>
    </row>
    <row r="193" spans="12:12">
      <c r="L193" s="3"/>
    </row>
    <row r="194" spans="12:12">
      <c r="L194" s="3"/>
    </row>
    <row r="195" spans="12:12">
      <c r="L195" s="3"/>
    </row>
    <row r="196" spans="12:12">
      <c r="L196" s="3"/>
    </row>
    <row r="197" spans="12:12">
      <c r="L197" s="3"/>
    </row>
    <row r="198" spans="12:12">
      <c r="L198" s="3"/>
    </row>
    <row r="199" spans="12:12">
      <c r="L199" s="3"/>
    </row>
    <row r="200" spans="12:12">
      <c r="L200" s="3"/>
    </row>
    <row r="201" spans="12:12">
      <c r="L201" s="3"/>
    </row>
    <row r="202" spans="12:12">
      <c r="L202" s="3"/>
    </row>
    <row r="203" spans="12:12">
      <c r="L203" s="3"/>
    </row>
    <row r="204" spans="12:12">
      <c r="L204" s="3"/>
    </row>
    <row r="205" spans="12:12">
      <c r="L205" s="3"/>
    </row>
    <row r="206" spans="12:12">
      <c r="L206" s="3"/>
    </row>
    <row r="207" spans="12:12">
      <c r="L207" s="3"/>
    </row>
    <row r="208" spans="12:12">
      <c r="L208" s="3"/>
    </row>
    <row r="209" spans="12:12">
      <c r="L209" s="3"/>
    </row>
    <row r="210" spans="12:12">
      <c r="L210" s="3"/>
    </row>
    <row r="211" spans="12:12">
      <c r="L211" s="3"/>
    </row>
    <row r="212" spans="12:12">
      <c r="L212" s="3"/>
    </row>
    <row r="213" spans="12:12">
      <c r="L213" s="3"/>
    </row>
    <row r="214" spans="12:12">
      <c r="L214" s="3"/>
    </row>
    <row r="215" spans="12:12">
      <c r="L215" s="3"/>
    </row>
    <row r="216" spans="12:12">
      <c r="L216" s="3"/>
    </row>
    <row r="217" spans="12:12">
      <c r="L217" s="3"/>
    </row>
    <row r="218" spans="12:12">
      <c r="L218" s="3"/>
    </row>
    <row r="219" spans="12:12">
      <c r="L219" s="3"/>
    </row>
    <row r="220" spans="12:12">
      <c r="L220" s="3"/>
    </row>
    <row r="221" spans="12:12">
      <c r="L221" s="3"/>
    </row>
    <row r="222" spans="12:12">
      <c r="L222" s="3"/>
    </row>
    <row r="223" spans="12:12">
      <c r="L223" s="3"/>
    </row>
    <row r="224" spans="12:12">
      <c r="L224" s="3"/>
    </row>
    <row r="225" spans="12:12">
      <c r="L225" s="3"/>
    </row>
    <row r="226" spans="12:12">
      <c r="L226" s="3"/>
    </row>
    <row r="227" spans="12:12">
      <c r="L227" s="3"/>
    </row>
    <row r="228" spans="12:12">
      <c r="L228" s="3"/>
    </row>
    <row r="229" spans="12:12">
      <c r="L229" s="3"/>
    </row>
    <row r="230" spans="12:12">
      <c r="L230" s="3"/>
    </row>
    <row r="231" spans="12:12">
      <c r="L231" s="3"/>
    </row>
    <row r="232" spans="12:12">
      <c r="L232" s="3"/>
    </row>
    <row r="233" spans="12:12">
      <c r="L233" s="3"/>
    </row>
    <row r="234" spans="12:12">
      <c r="L234" s="3"/>
    </row>
    <row r="235" spans="12:12">
      <c r="L235" s="3"/>
    </row>
    <row r="236" spans="12:12">
      <c r="L236" s="3"/>
    </row>
    <row r="237" spans="12:12">
      <c r="L237" s="3"/>
    </row>
    <row r="238" spans="12:12">
      <c r="L238" s="3"/>
    </row>
    <row r="239" spans="12:12">
      <c r="L239" s="3"/>
    </row>
    <row r="240" spans="12:12">
      <c r="L240" s="3"/>
    </row>
    <row r="241" spans="12:12">
      <c r="L241" s="3"/>
    </row>
    <row r="242" spans="12:12">
      <c r="L242" s="3"/>
    </row>
    <row r="243" spans="12:12">
      <c r="L243" s="3"/>
    </row>
    <row r="244" spans="12:12">
      <c r="L244" s="3"/>
    </row>
    <row r="245" spans="12:12">
      <c r="L245" s="3"/>
    </row>
    <row r="246" spans="12:12">
      <c r="L246" s="3"/>
    </row>
    <row r="247" spans="12:12">
      <c r="L247" s="3"/>
    </row>
    <row r="248" spans="12:12">
      <c r="L248" s="3"/>
    </row>
    <row r="249" spans="12:12">
      <c r="L249" s="3"/>
    </row>
    <row r="250" spans="12:12">
      <c r="L250" s="3"/>
    </row>
    <row r="251" spans="12:12">
      <c r="L251" s="3"/>
    </row>
    <row r="252" spans="12:12">
      <c r="L252" s="3"/>
    </row>
    <row r="253" spans="12:12">
      <c r="L253" s="3"/>
    </row>
    <row r="254" spans="12:12">
      <c r="L254" s="3"/>
    </row>
    <row r="255" spans="12:12">
      <c r="L255" s="3"/>
    </row>
    <row r="256" spans="12:12">
      <c r="L256" s="3"/>
    </row>
    <row r="257" spans="12:12">
      <c r="L257" s="3"/>
    </row>
    <row r="258" spans="12:12">
      <c r="L258" s="3"/>
    </row>
    <row r="259" spans="12:12">
      <c r="L259" s="3"/>
    </row>
    <row r="260" spans="12:12">
      <c r="L260" s="3"/>
    </row>
    <row r="261" spans="12:12">
      <c r="L261" s="3"/>
    </row>
    <row r="262" spans="12:12">
      <c r="L262" s="3"/>
    </row>
    <row r="263" spans="12:12">
      <c r="L263" s="3"/>
    </row>
    <row r="264" spans="12:12">
      <c r="L264" s="3"/>
    </row>
    <row r="265" spans="12:12">
      <c r="L265" s="3"/>
    </row>
    <row r="266" spans="12:12">
      <c r="L266" s="3"/>
    </row>
    <row r="267" spans="12:12">
      <c r="L267" s="3"/>
    </row>
    <row r="268" spans="12:12">
      <c r="L268" s="3"/>
    </row>
    <row r="269" spans="12:12">
      <c r="L269" s="3"/>
    </row>
    <row r="270" spans="12:12">
      <c r="L270" s="3"/>
    </row>
    <row r="271" spans="12:12">
      <c r="L271" s="3"/>
    </row>
    <row r="272" spans="12:12">
      <c r="L272" s="3"/>
    </row>
    <row r="273" spans="12:12">
      <c r="L273" s="3"/>
    </row>
    <row r="274" spans="12:12">
      <c r="L274" s="3"/>
    </row>
    <row r="275" spans="12:12">
      <c r="L275" s="3"/>
    </row>
    <row r="276" spans="12:12">
      <c r="L276" s="3"/>
    </row>
    <row r="277" spans="12:12">
      <c r="L277" s="3"/>
    </row>
    <row r="278" spans="12:12">
      <c r="L278" s="3"/>
    </row>
    <row r="279" spans="12:12">
      <c r="L279" s="3"/>
    </row>
    <row r="280" spans="12:12">
      <c r="L280" s="3"/>
    </row>
    <row r="281" spans="12:12">
      <c r="L281" s="3"/>
    </row>
    <row r="282" spans="12:12">
      <c r="L282" s="3"/>
    </row>
    <row r="283" spans="12:12">
      <c r="L283" s="3"/>
    </row>
    <row r="284" spans="12:12">
      <c r="L284" s="3"/>
    </row>
    <row r="285" spans="12:12">
      <c r="L285" s="3"/>
    </row>
    <row r="286" spans="12:12">
      <c r="L286" s="3"/>
    </row>
    <row r="287" spans="12:12">
      <c r="L287" s="3"/>
    </row>
    <row r="288" spans="12:12">
      <c r="L288" s="3"/>
    </row>
    <row r="289" spans="12:12">
      <c r="L289" s="3"/>
    </row>
    <row r="290" spans="12:12">
      <c r="L290" s="3"/>
    </row>
    <row r="291" spans="12:12">
      <c r="L291" s="3"/>
    </row>
    <row r="292" spans="12:12">
      <c r="L292" s="3"/>
    </row>
    <row r="293" spans="12:12">
      <c r="L293" s="3"/>
    </row>
    <row r="294" spans="12:12">
      <c r="L294" s="3"/>
    </row>
    <row r="295" spans="12:12">
      <c r="L295" s="3"/>
    </row>
    <row r="296" spans="12:12">
      <c r="L296" s="3"/>
    </row>
    <row r="297" spans="12:12">
      <c r="L297" s="3"/>
    </row>
    <row r="298" spans="12:12">
      <c r="L298" s="3"/>
    </row>
    <row r="299" spans="12:12">
      <c r="L299" s="3"/>
    </row>
    <row r="300" spans="12:12">
      <c r="L300" s="3"/>
    </row>
    <row r="301" spans="12:12">
      <c r="L301" s="3"/>
    </row>
    <row r="302" spans="12:12">
      <c r="L302" s="3"/>
    </row>
    <row r="303" spans="12:12">
      <c r="L303" s="3"/>
    </row>
    <row r="304" spans="12:12">
      <c r="L304" s="3"/>
    </row>
    <row r="305" spans="12:12">
      <c r="L305" s="3"/>
    </row>
    <row r="306" spans="12:12">
      <c r="L306" s="3"/>
    </row>
    <row r="307" spans="12:12">
      <c r="L307" s="3"/>
    </row>
    <row r="308" spans="12:12">
      <c r="L308" s="3"/>
    </row>
    <row r="309" spans="12:12">
      <c r="L309" s="3"/>
    </row>
    <row r="310" spans="12:12">
      <c r="L310" s="3"/>
    </row>
    <row r="311" spans="12:12">
      <c r="L311" s="3"/>
    </row>
    <row r="312" spans="12:12">
      <c r="L312" s="3"/>
    </row>
    <row r="313" spans="12:12">
      <c r="L313" s="3"/>
    </row>
    <row r="314" spans="12:12">
      <c r="L314" s="3"/>
    </row>
    <row r="315" spans="12:12">
      <c r="L315" s="3"/>
    </row>
    <row r="316" spans="12:12">
      <c r="L316" s="3"/>
    </row>
    <row r="317" spans="12:12">
      <c r="L317" s="3"/>
    </row>
    <row r="318" spans="12:12">
      <c r="L318" s="3"/>
    </row>
    <row r="319" spans="12:12">
      <c r="L319" s="3"/>
    </row>
    <row r="320" spans="12:12">
      <c r="L320" s="3"/>
    </row>
    <row r="321" spans="12:12">
      <c r="L321" s="3"/>
    </row>
    <row r="322" spans="12:12">
      <c r="L322" s="3"/>
    </row>
    <row r="323" spans="12:12">
      <c r="L323" s="3"/>
    </row>
    <row r="324" spans="12:12">
      <c r="L324" s="3"/>
    </row>
    <row r="325" spans="12:12">
      <c r="L325" s="3"/>
    </row>
    <row r="326" spans="12:12">
      <c r="L326" s="3"/>
    </row>
    <row r="327" spans="12:12">
      <c r="L327" s="3"/>
    </row>
    <row r="328" spans="12:12">
      <c r="L328" s="3"/>
    </row>
    <row r="329" spans="12:12">
      <c r="L329" s="3"/>
    </row>
    <row r="330" spans="12:12">
      <c r="L330" s="3"/>
    </row>
    <row r="331" spans="12:12">
      <c r="L331" s="3"/>
    </row>
    <row r="332" spans="12:12">
      <c r="L332" s="3"/>
    </row>
    <row r="333" spans="12:12">
      <c r="L333" s="3"/>
    </row>
    <row r="334" spans="12:12">
      <c r="L334" s="3"/>
    </row>
    <row r="335" spans="12:12">
      <c r="L335" s="3"/>
    </row>
    <row r="336" spans="12:12">
      <c r="L336" s="3"/>
    </row>
    <row r="337" spans="12:12">
      <c r="L337" s="3"/>
    </row>
    <row r="338" spans="12:12">
      <c r="L338" s="3"/>
    </row>
    <row r="339" spans="12:12">
      <c r="L339" s="3"/>
    </row>
    <row r="340" spans="12:12">
      <c r="L340" s="3"/>
    </row>
    <row r="341" spans="12:12">
      <c r="L341" s="3"/>
    </row>
    <row r="342" spans="12:12">
      <c r="L342" s="3"/>
    </row>
    <row r="343" spans="12:12">
      <c r="L343" s="3"/>
    </row>
    <row r="344" spans="12:12">
      <c r="L344" s="3"/>
    </row>
    <row r="345" spans="12:12">
      <c r="L345" s="3"/>
    </row>
    <row r="346" spans="12:12">
      <c r="L346" s="3"/>
    </row>
    <row r="347" spans="12:12">
      <c r="L347" s="3"/>
    </row>
    <row r="348" spans="12:12">
      <c r="L348" s="3"/>
    </row>
    <row r="349" spans="12:12">
      <c r="L349" s="3"/>
    </row>
    <row r="350" spans="12:12">
      <c r="L350" s="3"/>
    </row>
    <row r="351" spans="12:12">
      <c r="L351" s="3"/>
    </row>
    <row r="352" spans="12:12">
      <c r="L352" s="3"/>
    </row>
    <row r="353" spans="12:12">
      <c r="L353" s="3"/>
    </row>
    <row r="354" spans="12:12">
      <c r="L354" s="3"/>
    </row>
    <row r="355" spans="12:12">
      <c r="L355" s="3"/>
    </row>
    <row r="356" spans="12:12">
      <c r="L356" s="3"/>
    </row>
    <row r="357" spans="12:12">
      <c r="L357" s="3"/>
    </row>
    <row r="358" spans="12:12">
      <c r="L358" s="3"/>
    </row>
    <row r="359" spans="12:12">
      <c r="L359" s="3"/>
    </row>
    <row r="360" spans="12:12">
      <c r="L360" s="3"/>
    </row>
    <row r="361" spans="12:12">
      <c r="L361" s="3"/>
    </row>
    <row r="362" spans="12:12">
      <c r="L362" s="3"/>
    </row>
    <row r="363" spans="12:12">
      <c r="L363" s="3"/>
    </row>
    <row r="364" spans="12:12">
      <c r="L364" s="3"/>
    </row>
    <row r="365" spans="12:12">
      <c r="L365" s="3"/>
    </row>
    <row r="366" spans="12:12">
      <c r="L366" s="3"/>
    </row>
    <row r="367" spans="12:12">
      <c r="L367" s="3"/>
    </row>
    <row r="368" spans="12:12">
      <c r="L368" s="3"/>
    </row>
    <row r="369" spans="12:12">
      <c r="L369" s="3"/>
    </row>
    <row r="370" spans="12:12">
      <c r="L370" s="3"/>
    </row>
    <row r="371" spans="12:12">
      <c r="L371" s="3"/>
    </row>
    <row r="372" spans="12:12">
      <c r="L372" s="3"/>
    </row>
    <row r="373" spans="12:12">
      <c r="L373" s="3"/>
    </row>
    <row r="374" spans="12:12">
      <c r="L374" s="3"/>
    </row>
    <row r="375" spans="12:12">
      <c r="L375" s="3"/>
    </row>
    <row r="376" spans="12:12">
      <c r="L376" s="3"/>
    </row>
    <row r="377" spans="12:12">
      <c r="L377" s="3"/>
    </row>
    <row r="378" spans="12:12">
      <c r="L378" s="3"/>
    </row>
    <row r="379" spans="12:12">
      <c r="L379" s="3"/>
    </row>
    <row r="380" spans="12:12">
      <c r="L380" s="3"/>
    </row>
    <row r="381" spans="12:12">
      <c r="L381" s="3"/>
    </row>
    <row r="382" spans="12:12">
      <c r="L382" s="3"/>
    </row>
    <row r="383" spans="12:12">
      <c r="L383" s="3"/>
    </row>
    <row r="384" spans="12:12">
      <c r="L384" s="3"/>
    </row>
    <row r="385" spans="12:12">
      <c r="L385" s="3"/>
    </row>
    <row r="386" spans="12:12">
      <c r="L386" s="3"/>
    </row>
    <row r="387" spans="12:12">
      <c r="L387" s="3"/>
    </row>
    <row r="388" spans="12:12">
      <c r="L388" s="3"/>
    </row>
    <row r="389" spans="12:12">
      <c r="L389" s="3"/>
    </row>
    <row r="390" spans="12:12">
      <c r="L390" s="3"/>
    </row>
    <row r="391" spans="12:12">
      <c r="L391" s="3"/>
    </row>
    <row r="392" spans="12:12">
      <c r="L392" s="3"/>
    </row>
    <row r="393" spans="12:12">
      <c r="L393" s="3"/>
    </row>
    <row r="394" spans="12:12">
      <c r="L394" s="3"/>
    </row>
    <row r="395" spans="12:12">
      <c r="L395" s="3"/>
    </row>
    <row r="396" spans="12:12">
      <c r="L396" s="3"/>
    </row>
    <row r="397" spans="12:12">
      <c r="L397" s="3"/>
    </row>
    <row r="398" spans="12:12">
      <c r="L398" s="3"/>
    </row>
    <row r="399" spans="12:12">
      <c r="L399" s="3"/>
    </row>
    <row r="400" spans="12:12">
      <c r="L400" s="3"/>
    </row>
    <row r="401" spans="12:12">
      <c r="L401" s="3"/>
    </row>
    <row r="402" spans="12:12">
      <c r="L402" s="3"/>
    </row>
    <row r="403" spans="12:12">
      <c r="L403" s="3"/>
    </row>
    <row r="404" spans="12:12">
      <c r="L404" s="3"/>
    </row>
    <row r="405" spans="12:12">
      <c r="L405" s="3"/>
    </row>
    <row r="406" spans="12:12">
      <c r="L406" s="3"/>
    </row>
    <row r="407" spans="12:12">
      <c r="L407" s="3"/>
    </row>
    <row r="408" spans="12:12">
      <c r="L408" s="3"/>
    </row>
    <row r="409" spans="12:12">
      <c r="L409" s="3"/>
    </row>
    <row r="410" spans="12:12">
      <c r="L410" s="3"/>
    </row>
    <row r="411" spans="12:12">
      <c r="L411" s="3"/>
    </row>
    <row r="412" spans="12:12">
      <c r="L412" s="3"/>
    </row>
    <row r="413" spans="12:12">
      <c r="L413" s="3"/>
    </row>
    <row r="414" spans="12:12">
      <c r="L414" s="3"/>
    </row>
    <row r="415" spans="12:12">
      <c r="L415" s="3"/>
    </row>
    <row r="416" spans="12:12">
      <c r="L416" s="3"/>
    </row>
    <row r="417" spans="12:12">
      <c r="L417" s="3"/>
    </row>
    <row r="418" spans="12:12">
      <c r="L418" s="3"/>
    </row>
    <row r="419" spans="12:12">
      <c r="L419" s="3"/>
    </row>
    <row r="420" spans="12:12">
      <c r="L420" s="3"/>
    </row>
    <row r="421" spans="12:12">
      <c r="L421" s="3"/>
    </row>
    <row r="422" spans="12:12">
      <c r="L422" s="3"/>
    </row>
    <row r="423" spans="12:12">
      <c r="L423" s="3"/>
    </row>
    <row r="424" spans="12:12">
      <c r="L424" s="3"/>
    </row>
    <row r="425" spans="12:12">
      <c r="L425" s="3"/>
    </row>
    <row r="426" spans="12:12">
      <c r="L426" s="3"/>
    </row>
    <row r="427" spans="12:12">
      <c r="L427" s="3"/>
    </row>
    <row r="428" spans="12:12">
      <c r="L428" s="3"/>
    </row>
    <row r="429" spans="12:12">
      <c r="L429" s="3"/>
    </row>
    <row r="430" spans="12:12">
      <c r="L430" s="3"/>
    </row>
    <row r="431" spans="12:12">
      <c r="L431" s="3"/>
    </row>
    <row r="432" spans="12:12">
      <c r="L432" s="3"/>
    </row>
    <row r="433" spans="12:12">
      <c r="L433" s="3"/>
    </row>
    <row r="434" spans="12:12">
      <c r="L434" s="3"/>
    </row>
    <row r="435" spans="12:12">
      <c r="L435" s="3"/>
    </row>
    <row r="436" spans="12:12">
      <c r="L436" s="3"/>
    </row>
    <row r="437" spans="12:12">
      <c r="L437" s="3"/>
    </row>
    <row r="438" spans="12:12">
      <c r="L438" s="3"/>
    </row>
    <row r="439" spans="12:12">
      <c r="L439" s="3"/>
    </row>
    <row r="440" spans="12:12">
      <c r="L440" s="3"/>
    </row>
    <row r="441" spans="12:12">
      <c r="L441" s="3"/>
    </row>
    <row r="442" spans="12:12">
      <c r="L442" s="3"/>
    </row>
    <row r="443" spans="12:12">
      <c r="L443" s="3"/>
    </row>
    <row r="444" spans="12:12">
      <c r="L444" s="3"/>
    </row>
    <row r="445" spans="12:12">
      <c r="L445" s="3"/>
    </row>
    <row r="446" spans="12:12">
      <c r="L446" s="3"/>
    </row>
    <row r="447" spans="12:12">
      <c r="L447" s="3"/>
    </row>
    <row r="448" spans="12:12">
      <c r="L448" s="3"/>
    </row>
    <row r="449" spans="12:12">
      <c r="L449" s="3"/>
    </row>
    <row r="450" spans="12:12">
      <c r="L450" s="3"/>
    </row>
    <row r="451" spans="12:12">
      <c r="L451" s="3"/>
    </row>
    <row r="452" spans="12:12">
      <c r="L452" s="3"/>
    </row>
    <row r="453" spans="12:12">
      <c r="L453" s="3"/>
    </row>
    <row r="454" spans="12:12">
      <c r="L454" s="3"/>
    </row>
    <row r="455" spans="12:12">
      <c r="L455" s="3"/>
    </row>
    <row r="456" spans="12:12">
      <c r="L456" s="3"/>
    </row>
    <row r="457" spans="12:12">
      <c r="L457" s="3"/>
    </row>
    <row r="458" spans="12:12">
      <c r="L458" s="3"/>
    </row>
    <row r="459" spans="12:12">
      <c r="L459" s="3"/>
    </row>
    <row r="460" spans="12:12">
      <c r="L460" s="3"/>
    </row>
    <row r="461" spans="12:12">
      <c r="L461" s="3"/>
    </row>
    <row r="462" spans="12:12">
      <c r="L462" s="3"/>
    </row>
    <row r="463" spans="12:12">
      <c r="L463" s="3"/>
    </row>
    <row r="464" spans="12:12">
      <c r="L464" s="3"/>
    </row>
    <row r="465" spans="12:12">
      <c r="L465" s="3"/>
    </row>
    <row r="466" spans="12:12">
      <c r="L466" s="3"/>
    </row>
    <row r="467" spans="12:12">
      <c r="L467" s="3"/>
    </row>
    <row r="468" spans="12:12">
      <c r="L468" s="3"/>
    </row>
    <row r="469" spans="12:12">
      <c r="L469" s="3"/>
    </row>
    <row r="470" spans="12:12">
      <c r="L470" s="3"/>
    </row>
    <row r="471" spans="12:12">
      <c r="L471" s="3"/>
    </row>
    <row r="472" spans="12:12">
      <c r="L472" s="3"/>
    </row>
    <row r="473" spans="12:12">
      <c r="L473" s="3"/>
    </row>
    <row r="474" spans="12:12">
      <c r="L474" s="3"/>
    </row>
    <row r="475" spans="12:12">
      <c r="L475" s="3"/>
    </row>
    <row r="476" spans="12:12">
      <c r="L476" s="3"/>
    </row>
    <row r="477" spans="12:12">
      <c r="L477" s="3"/>
    </row>
    <row r="478" spans="12:12">
      <c r="L478" s="3"/>
    </row>
    <row r="479" spans="12:12">
      <c r="L479" s="3"/>
    </row>
    <row r="480" spans="12:12">
      <c r="L480" s="3"/>
    </row>
    <row r="481" spans="12:12">
      <c r="L481" s="3"/>
    </row>
    <row r="482" spans="12:12">
      <c r="L482" s="3"/>
    </row>
    <row r="483" spans="12:12">
      <c r="L483" s="3"/>
    </row>
    <row r="484" spans="12:12">
      <c r="L484" s="3"/>
    </row>
    <row r="485" spans="12:12">
      <c r="L485" s="3"/>
    </row>
    <row r="486" spans="12:12">
      <c r="L486" s="3"/>
    </row>
    <row r="487" spans="12:12">
      <c r="L487" s="3"/>
    </row>
    <row r="488" spans="12:12">
      <c r="L488" s="3"/>
    </row>
    <row r="489" spans="12:12">
      <c r="L489" s="3"/>
    </row>
    <row r="490" spans="12:12">
      <c r="L490" s="3"/>
    </row>
    <row r="491" spans="12:12">
      <c r="L491" s="3"/>
    </row>
    <row r="492" spans="12:12">
      <c r="L492" s="3"/>
    </row>
    <row r="493" spans="12:12">
      <c r="L493" s="3"/>
    </row>
    <row r="494" spans="12:12">
      <c r="L494" s="3"/>
    </row>
    <row r="495" spans="12:12">
      <c r="L495" s="3"/>
    </row>
    <row r="496" spans="12:12">
      <c r="L496" s="3"/>
    </row>
    <row r="497" spans="12:12">
      <c r="L497" s="3"/>
    </row>
    <row r="498" spans="12:12">
      <c r="L498" s="3"/>
    </row>
    <row r="499" spans="12:12">
      <c r="L499" s="3"/>
    </row>
    <row r="500" spans="12:12">
      <c r="L500" s="3"/>
    </row>
    <row r="501" spans="12:12">
      <c r="L501" s="3"/>
    </row>
    <row r="502" spans="12:12">
      <c r="L502" s="3"/>
    </row>
    <row r="503" spans="12:12">
      <c r="L503" s="3"/>
    </row>
    <row r="504" spans="12:12">
      <c r="L504" s="3"/>
    </row>
    <row r="505" spans="12:12">
      <c r="L505" s="3"/>
    </row>
    <row r="506" spans="12:12">
      <c r="L506" s="3"/>
    </row>
    <row r="507" spans="12:12">
      <c r="L507" s="3"/>
    </row>
    <row r="508" spans="12:12">
      <c r="L508" s="3"/>
    </row>
    <row r="509" spans="12:12">
      <c r="L509" s="3"/>
    </row>
    <row r="510" spans="12:12">
      <c r="L510" s="3"/>
    </row>
    <row r="511" spans="12:12">
      <c r="L511" s="3"/>
    </row>
    <row r="512" spans="12:12">
      <c r="L512" s="3"/>
    </row>
    <row r="513" spans="12:12">
      <c r="L513" s="3"/>
    </row>
    <row r="514" spans="12:12">
      <c r="L514" s="3"/>
    </row>
    <row r="515" spans="12:12">
      <c r="L515" s="3"/>
    </row>
    <row r="516" spans="12:12">
      <c r="L516" s="3"/>
    </row>
    <row r="517" spans="12:12">
      <c r="L517" s="3"/>
    </row>
    <row r="518" spans="12:12">
      <c r="L518" s="3"/>
    </row>
    <row r="519" spans="12:12">
      <c r="L519" s="3"/>
    </row>
    <row r="520" spans="12:12">
      <c r="L520" s="3"/>
    </row>
    <row r="521" spans="12:12">
      <c r="L521" s="3"/>
    </row>
    <row r="522" spans="12:12">
      <c r="L522" s="3"/>
    </row>
    <row r="523" spans="12:12">
      <c r="L523" s="3"/>
    </row>
    <row r="524" spans="12:12">
      <c r="L524" s="3"/>
    </row>
    <row r="525" spans="12:12">
      <c r="L525" s="3"/>
    </row>
    <row r="526" spans="12:12">
      <c r="L526" s="3"/>
    </row>
    <row r="527" spans="12:12">
      <c r="L527" s="3"/>
    </row>
    <row r="528" spans="12:12">
      <c r="L528" s="3"/>
    </row>
    <row r="529" spans="12:12">
      <c r="L529" s="3"/>
    </row>
    <row r="530" spans="12:12">
      <c r="L530" s="3"/>
    </row>
    <row r="531" spans="12:12">
      <c r="L531" s="3"/>
    </row>
    <row r="532" spans="12:12">
      <c r="L532" s="3"/>
    </row>
    <row r="533" spans="12:12">
      <c r="L533" s="3"/>
    </row>
    <row r="534" spans="12:12">
      <c r="L534" s="3"/>
    </row>
    <row r="535" spans="12:12">
      <c r="L535" s="3"/>
    </row>
    <row r="536" spans="12:12">
      <c r="L536" s="3"/>
    </row>
    <row r="537" spans="12:12">
      <c r="L537" s="3"/>
    </row>
    <row r="538" spans="12:12">
      <c r="L538" s="3"/>
    </row>
    <row r="539" spans="12:12">
      <c r="L539" s="3"/>
    </row>
    <row r="540" spans="12:12">
      <c r="L540" s="3"/>
    </row>
    <row r="541" spans="12:12">
      <c r="L541" s="3"/>
    </row>
    <row r="542" spans="12:12">
      <c r="L542" s="3"/>
    </row>
    <row r="543" spans="12:12">
      <c r="L543" s="3"/>
    </row>
    <row r="544" spans="12:12">
      <c r="L544" s="3"/>
    </row>
    <row r="545" spans="12:12">
      <c r="L545" s="3"/>
    </row>
    <row r="546" spans="12:12">
      <c r="L546" s="3"/>
    </row>
    <row r="547" spans="12:12">
      <c r="L547" s="3"/>
    </row>
    <row r="548" spans="12:12">
      <c r="L548" s="3"/>
    </row>
    <row r="549" spans="12:12">
      <c r="L549" s="3"/>
    </row>
    <row r="550" spans="12:12">
      <c r="L550" s="3"/>
    </row>
    <row r="551" spans="12:12">
      <c r="L551" s="3"/>
    </row>
    <row r="552" spans="12:12">
      <c r="L552" s="3"/>
    </row>
    <row r="553" spans="12:12">
      <c r="L553" s="3"/>
    </row>
    <row r="554" spans="12:12">
      <c r="L554" s="3"/>
    </row>
    <row r="555" spans="12:12">
      <c r="L555" s="3"/>
    </row>
    <row r="556" spans="12:12">
      <c r="L556" s="3"/>
    </row>
    <row r="557" spans="12:12">
      <c r="L557" s="3"/>
    </row>
    <row r="558" spans="12:12">
      <c r="L558" s="3"/>
    </row>
    <row r="559" spans="12:12">
      <c r="L559" s="3"/>
    </row>
    <row r="560" spans="12:12">
      <c r="L560" s="3"/>
    </row>
    <row r="561" spans="12:12">
      <c r="L561" s="3"/>
    </row>
    <row r="562" spans="12:12">
      <c r="L562" s="3"/>
    </row>
    <row r="563" spans="12:12">
      <c r="L563" s="3"/>
    </row>
    <row r="564" spans="12:12">
      <c r="L564" s="3"/>
    </row>
    <row r="565" spans="12:12">
      <c r="L565" s="3"/>
    </row>
    <row r="566" spans="12:12">
      <c r="L566" s="3"/>
    </row>
    <row r="567" spans="12:12">
      <c r="L567" s="3"/>
    </row>
    <row r="568" spans="12:12">
      <c r="L568" s="3"/>
    </row>
    <row r="569" spans="12:12">
      <c r="L569" s="3"/>
    </row>
    <row r="570" spans="12:12">
      <c r="L570" s="3"/>
    </row>
    <row r="571" spans="12:12">
      <c r="L571" s="3"/>
    </row>
    <row r="572" spans="12:12">
      <c r="L572" s="3"/>
    </row>
    <row r="573" spans="12:12">
      <c r="L573" s="3"/>
    </row>
    <row r="574" spans="12:12">
      <c r="L574" s="3"/>
    </row>
    <row r="575" spans="12:12">
      <c r="L575" s="3"/>
    </row>
    <row r="576" spans="12:12">
      <c r="L576" s="3"/>
    </row>
    <row r="577" spans="12:12">
      <c r="L577" s="3"/>
    </row>
    <row r="578" spans="12:12">
      <c r="L578" s="3"/>
    </row>
    <row r="579" spans="12:12">
      <c r="L579" s="3"/>
    </row>
    <row r="580" spans="12:12">
      <c r="L580" s="3"/>
    </row>
    <row r="581" spans="12:12">
      <c r="L581" s="3"/>
    </row>
    <row r="582" spans="12:12">
      <c r="L582" s="3"/>
    </row>
    <row r="583" spans="12:12">
      <c r="L583" s="3"/>
    </row>
    <row r="584" spans="12:12">
      <c r="L584" s="3"/>
    </row>
    <row r="585" spans="12:12">
      <c r="L585" s="3"/>
    </row>
    <row r="586" spans="12:12">
      <c r="L586" s="3"/>
    </row>
    <row r="587" spans="12:12">
      <c r="L587" s="3"/>
    </row>
    <row r="588" spans="12:12">
      <c r="L588" s="3"/>
    </row>
    <row r="589" spans="12:12">
      <c r="L589" s="3"/>
    </row>
    <row r="590" spans="12:12">
      <c r="L590" s="3"/>
    </row>
    <row r="591" spans="12:12">
      <c r="L591" s="3"/>
    </row>
    <row r="592" spans="12:12">
      <c r="L592" s="3"/>
    </row>
    <row r="593" spans="12:12">
      <c r="L593" s="3"/>
    </row>
    <row r="594" spans="12:12">
      <c r="L594" s="3"/>
    </row>
    <row r="595" spans="12:12">
      <c r="L595" s="3"/>
    </row>
    <row r="596" spans="12:12">
      <c r="L596" s="3"/>
    </row>
    <row r="597" spans="12:12">
      <c r="L597" s="3"/>
    </row>
    <row r="598" spans="12:12">
      <c r="L598" s="3"/>
    </row>
    <row r="599" spans="12:12">
      <c r="L599" s="3"/>
    </row>
    <row r="600" spans="12:12">
      <c r="L600" s="3"/>
    </row>
    <row r="601" spans="12:12">
      <c r="L601" s="3"/>
    </row>
    <row r="602" spans="12:12">
      <c r="L602" s="3"/>
    </row>
    <row r="603" spans="12:12">
      <c r="L603" s="3"/>
    </row>
    <row r="604" spans="12:12">
      <c r="L604" s="3"/>
    </row>
    <row r="605" spans="12:12">
      <c r="L605" s="3"/>
    </row>
    <row r="606" spans="12:12">
      <c r="L606" s="3"/>
    </row>
    <row r="607" spans="12:12">
      <c r="L607" s="3"/>
    </row>
    <row r="608" spans="12:12">
      <c r="L608" s="3"/>
    </row>
    <row r="609" spans="12:12">
      <c r="L609" s="3"/>
    </row>
    <row r="610" spans="12:12">
      <c r="L610" s="3"/>
    </row>
    <row r="611" spans="12:12">
      <c r="L611" s="3"/>
    </row>
    <row r="612" spans="12:12">
      <c r="L612" s="3"/>
    </row>
    <row r="613" spans="12:12">
      <c r="L613" s="3"/>
    </row>
    <row r="614" spans="12:12">
      <c r="L614" s="3"/>
    </row>
    <row r="615" spans="12:12">
      <c r="L615" s="3"/>
    </row>
    <row r="616" spans="12:12">
      <c r="L616" s="3"/>
    </row>
    <row r="617" spans="12:12">
      <c r="L617" s="3"/>
    </row>
    <row r="618" spans="12:12">
      <c r="L618" s="3"/>
    </row>
    <row r="619" spans="12:12">
      <c r="L619" s="3"/>
    </row>
    <row r="620" spans="12:12">
      <c r="L620" s="3"/>
    </row>
    <row r="621" spans="12:12">
      <c r="L621" s="3"/>
    </row>
    <row r="622" spans="12:12">
      <c r="L622" s="3"/>
    </row>
    <row r="623" spans="12:12">
      <c r="L623" s="3"/>
    </row>
    <row r="624" spans="12:12">
      <c r="L624" s="3"/>
    </row>
    <row r="625" spans="12:12">
      <c r="L625" s="3"/>
    </row>
    <row r="626" spans="12:12">
      <c r="L626" s="3"/>
    </row>
    <row r="627" spans="12:12">
      <c r="L627" s="3"/>
    </row>
    <row r="628" spans="12:12">
      <c r="L628" s="3"/>
    </row>
    <row r="629" spans="12:12">
      <c r="L629" s="3"/>
    </row>
    <row r="630" spans="12:12">
      <c r="L630" s="3"/>
    </row>
    <row r="631" spans="12:12">
      <c r="L631" s="3"/>
    </row>
    <row r="632" spans="12:12">
      <c r="L632" s="3"/>
    </row>
    <row r="633" spans="12:12">
      <c r="L633" s="3"/>
    </row>
    <row r="634" spans="12:12">
      <c r="L634" s="3"/>
    </row>
    <row r="635" spans="12:12">
      <c r="L635" s="3"/>
    </row>
    <row r="636" spans="12:12">
      <c r="L636" s="3"/>
    </row>
    <row r="637" spans="12:12">
      <c r="L637" s="3"/>
    </row>
    <row r="638" spans="12:12">
      <c r="L638" s="3"/>
    </row>
    <row r="639" spans="12:12">
      <c r="L639" s="3"/>
    </row>
    <row r="640" spans="12:12">
      <c r="L640" s="3"/>
    </row>
    <row r="641" spans="12:12">
      <c r="L641" s="3"/>
    </row>
    <row r="642" spans="12:12">
      <c r="L642" s="3"/>
    </row>
    <row r="643" spans="12:12">
      <c r="L643" s="3"/>
    </row>
    <row r="644" spans="12:12">
      <c r="L644" s="3"/>
    </row>
    <row r="645" spans="12:12">
      <c r="L645" s="3"/>
    </row>
    <row r="646" spans="12:12">
      <c r="L646" s="3"/>
    </row>
    <row r="647" spans="12:12">
      <c r="L647" s="3"/>
    </row>
    <row r="648" spans="12:12">
      <c r="L648" s="3"/>
    </row>
    <row r="649" spans="12:12">
      <c r="L649" s="3"/>
    </row>
    <row r="650" spans="12:12">
      <c r="L650" s="3"/>
    </row>
    <row r="651" spans="12:12">
      <c r="L651" s="3"/>
    </row>
    <row r="652" spans="12:12">
      <c r="L652" s="3"/>
    </row>
    <row r="653" spans="12:12">
      <c r="L653" s="3"/>
    </row>
    <row r="654" spans="12:12">
      <c r="L654" s="3"/>
    </row>
    <row r="655" spans="12:12">
      <c r="L655" s="3"/>
    </row>
    <row r="656" spans="12:12">
      <c r="L656" s="3"/>
    </row>
    <row r="657" spans="12:12">
      <c r="L657" s="3"/>
    </row>
    <row r="658" spans="12:12">
      <c r="L658" s="3"/>
    </row>
    <row r="659" spans="12:12">
      <c r="L659" s="3"/>
    </row>
    <row r="660" spans="12:12">
      <c r="L660" s="3"/>
    </row>
  </sheetData>
  <dataValidations disablePrompts="1" count="5">
    <dataValidation type="list" allowBlank="1" showInputMessage="1" showErrorMessage="1" sqref="C1" xr:uid="{B438C11B-6467-AB47-887D-E57B703A2066}">
      <formula1>$AA$2:$AA$15</formula1>
    </dataValidation>
    <dataValidation type="list" allowBlank="1" showInputMessage="1" showErrorMessage="1" sqref="C2" xr:uid="{938FA1E1-431A-1140-9D8A-8F38C384A9AD}">
      <formula1>$AB$2:$AB$15</formula1>
    </dataValidation>
    <dataValidation type="list" allowBlank="1" showInputMessage="1" showErrorMessage="1" sqref="E1" xr:uid="{0E1FFC36-F37C-AF43-86F7-B7D3E9D1A2DB}">
      <formula1>$AC$2:$AC$200</formula1>
    </dataValidation>
    <dataValidation type="list" allowBlank="1" showInputMessage="1" showErrorMessage="1" sqref="E2" xr:uid="{9047466F-5F14-7749-99EA-F6A178348A5C}">
      <formula1>$AD$2:$AD$200</formula1>
    </dataValidation>
    <dataValidation type="list" allowBlank="1" showInputMessage="1" showErrorMessage="1" sqref="G1" xr:uid="{9AD99402-C787-FA4B-89FD-F77EAE19963F}">
      <formula1>$AE$2:$AE$20</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16C1E-5918-4B14-A0E2-F5D57836AFE1}">
  <dimension ref="A1:P92"/>
  <sheetViews>
    <sheetView workbookViewId="0">
      <selection activeCell="B5" sqref="B5"/>
    </sheetView>
  </sheetViews>
  <sheetFormatPr baseColWidth="10" defaultColWidth="8.83203125" defaultRowHeight="15"/>
  <cols>
    <col min="1" max="1" width="11.5" bestFit="1" customWidth="1"/>
    <col min="2" max="2" width="45.83203125" bestFit="1" customWidth="1"/>
    <col min="3" max="3" width="80.5" bestFit="1" customWidth="1"/>
    <col min="4" max="4" width="32.83203125" bestFit="1" customWidth="1"/>
    <col min="5" max="5" width="77.1640625" bestFit="1" customWidth="1"/>
    <col min="6" max="7" width="80.5" bestFit="1" customWidth="1"/>
    <col min="8" max="8" width="20.5" bestFit="1" customWidth="1"/>
    <col min="9" max="9" width="80.5" bestFit="1" customWidth="1"/>
    <col min="10" max="10" width="25" bestFit="1" customWidth="1"/>
    <col min="11" max="11" width="15.1640625" bestFit="1" customWidth="1"/>
    <col min="12" max="12" width="25.83203125" bestFit="1" customWidth="1"/>
    <col min="13" max="13" width="4.83203125" bestFit="1" customWidth="1"/>
    <col min="14" max="14" width="14.83203125" bestFit="1" customWidth="1"/>
    <col min="15" max="15" width="11.1640625" bestFit="1" customWidth="1"/>
    <col min="16" max="16" width="29.5" bestFit="1" customWidth="1"/>
  </cols>
  <sheetData>
    <row r="1" spans="1:16">
      <c r="A1" t="s">
        <v>46</v>
      </c>
      <c r="B1" t="s">
        <v>47</v>
      </c>
      <c r="C1" t="s">
        <v>48</v>
      </c>
      <c r="D1" t="s">
        <v>49</v>
      </c>
      <c r="E1" t="s">
        <v>1296</v>
      </c>
      <c r="F1" t="s">
        <v>53</v>
      </c>
      <c r="G1" t="s">
        <v>50</v>
      </c>
      <c r="H1" t="s">
        <v>51</v>
      </c>
      <c r="I1" t="s">
        <v>55</v>
      </c>
      <c r="J1" t="s">
        <v>1297</v>
      </c>
      <c r="K1" t="s">
        <v>58</v>
      </c>
      <c r="L1" t="s">
        <v>1298</v>
      </c>
      <c r="M1" t="s">
        <v>1299</v>
      </c>
      <c r="N1" t="s">
        <v>54</v>
      </c>
      <c r="O1" t="s">
        <v>1300</v>
      </c>
      <c r="P1" t="s">
        <v>1301</v>
      </c>
    </row>
    <row r="2" spans="1:16" ht="32">
      <c r="A2" s="1" t="s">
        <v>67</v>
      </c>
      <c r="B2" s="1" t="s">
        <v>68</v>
      </c>
      <c r="C2" s="2" t="s">
        <v>69</v>
      </c>
      <c r="D2" s="1" t="s">
        <v>1302</v>
      </c>
      <c r="E2" s="2" t="s">
        <v>72</v>
      </c>
      <c r="F2" s="2" t="s">
        <v>73</v>
      </c>
      <c r="G2" s="1" t="s">
        <v>71</v>
      </c>
      <c r="H2" s="3"/>
      <c r="I2" s="1"/>
      <c r="J2" s="3"/>
      <c r="K2" s="4">
        <v>45989.729780092595</v>
      </c>
      <c r="L2" s="1" t="s">
        <v>1303</v>
      </c>
      <c r="M2" s="5">
        <v>1</v>
      </c>
      <c r="N2">
        <v>14</v>
      </c>
      <c r="O2" s="1" t="s">
        <v>1304</v>
      </c>
      <c r="P2" s="1" t="s">
        <v>1305</v>
      </c>
    </row>
    <row r="3" spans="1:16" ht="32">
      <c r="A3" s="1" t="s">
        <v>76</v>
      </c>
      <c r="B3" s="1" t="s">
        <v>68</v>
      </c>
      <c r="C3" s="2" t="s">
        <v>77</v>
      </c>
      <c r="D3" s="1" t="s">
        <v>1302</v>
      </c>
      <c r="E3" s="2" t="s">
        <v>79</v>
      </c>
      <c r="F3" s="2" t="s">
        <v>80</v>
      </c>
      <c r="G3" s="1" t="s">
        <v>78</v>
      </c>
      <c r="H3" s="3">
        <v>46112</v>
      </c>
      <c r="I3" s="1" t="s">
        <v>78</v>
      </c>
      <c r="J3" s="3">
        <v>46112</v>
      </c>
      <c r="K3" s="4">
        <v>45987.760578703703</v>
      </c>
      <c r="L3" s="1" t="s">
        <v>1306</v>
      </c>
      <c r="M3" s="5">
        <v>2</v>
      </c>
      <c r="N3">
        <v>15</v>
      </c>
      <c r="O3" s="1" t="s">
        <v>1304</v>
      </c>
      <c r="P3" s="1" t="s">
        <v>1305</v>
      </c>
    </row>
    <row r="4" spans="1:16" ht="16">
      <c r="A4" s="1" t="s">
        <v>83</v>
      </c>
      <c r="B4" s="1" t="s">
        <v>84</v>
      </c>
      <c r="C4" s="2" t="s">
        <v>85</v>
      </c>
      <c r="D4" s="1" t="s">
        <v>86</v>
      </c>
      <c r="E4" s="2"/>
      <c r="F4" s="2"/>
      <c r="G4" s="1"/>
      <c r="H4" s="3"/>
      <c r="I4" s="1"/>
      <c r="J4" s="3"/>
      <c r="K4" s="4">
        <v>45973.691678240742</v>
      </c>
      <c r="L4" s="1" t="s">
        <v>1307</v>
      </c>
      <c r="M4" s="5">
        <v>3</v>
      </c>
      <c r="N4">
        <v>16</v>
      </c>
      <c r="O4" s="1" t="s">
        <v>1304</v>
      </c>
      <c r="P4" s="1" t="s">
        <v>1305</v>
      </c>
    </row>
    <row r="5" spans="1:16" ht="32">
      <c r="A5" s="1" t="s">
        <v>89</v>
      </c>
      <c r="B5" s="1" t="s">
        <v>84</v>
      </c>
      <c r="C5" s="2" t="s">
        <v>90</v>
      </c>
      <c r="D5" s="1" t="s">
        <v>86</v>
      </c>
      <c r="E5" s="2"/>
      <c r="F5" s="2"/>
      <c r="G5" s="1"/>
      <c r="H5" s="3"/>
      <c r="I5" s="1"/>
      <c r="J5" s="3"/>
      <c r="K5" s="4">
        <v>45973.691678240742</v>
      </c>
      <c r="L5" s="1" t="s">
        <v>1307</v>
      </c>
      <c r="M5" s="5">
        <v>4</v>
      </c>
      <c r="N5">
        <v>17</v>
      </c>
      <c r="O5" s="1" t="s">
        <v>1304</v>
      </c>
      <c r="P5" s="1" t="s">
        <v>1305</v>
      </c>
    </row>
    <row r="6" spans="1:16" ht="32">
      <c r="A6" s="1" t="s">
        <v>92</v>
      </c>
      <c r="B6" s="1" t="s">
        <v>84</v>
      </c>
      <c r="C6" s="2" t="s">
        <v>93</v>
      </c>
      <c r="D6" s="1" t="s">
        <v>86</v>
      </c>
      <c r="E6" s="2"/>
      <c r="F6" s="2"/>
      <c r="G6" s="1"/>
      <c r="H6" s="3"/>
      <c r="I6" s="1"/>
      <c r="J6" s="3"/>
      <c r="K6" s="4">
        <v>45967.047731481478</v>
      </c>
      <c r="L6" s="1" t="s">
        <v>1307</v>
      </c>
      <c r="M6" s="5">
        <v>5</v>
      </c>
      <c r="N6">
        <v>18</v>
      </c>
      <c r="O6" s="1" t="s">
        <v>1304</v>
      </c>
      <c r="P6" s="1" t="s">
        <v>1305</v>
      </c>
    </row>
    <row r="7" spans="1:16" ht="32">
      <c r="A7" s="1" t="s">
        <v>96</v>
      </c>
      <c r="B7" s="1" t="s">
        <v>84</v>
      </c>
      <c r="C7" s="2" t="s">
        <v>97</v>
      </c>
      <c r="D7" s="1" t="s">
        <v>86</v>
      </c>
      <c r="E7" s="2"/>
      <c r="F7" s="2"/>
      <c r="G7" s="1"/>
      <c r="H7" s="3"/>
      <c r="I7" s="1"/>
      <c r="J7" s="3"/>
      <c r="K7" s="4">
        <v>45967.047754629632</v>
      </c>
      <c r="L7" s="1" t="s">
        <v>1307</v>
      </c>
      <c r="M7" s="5">
        <v>6</v>
      </c>
      <c r="N7">
        <v>20</v>
      </c>
      <c r="O7" s="1" t="s">
        <v>1304</v>
      </c>
      <c r="P7" s="1" t="s">
        <v>1305</v>
      </c>
    </row>
    <row r="8" spans="1:16" ht="32">
      <c r="A8" s="1" t="s">
        <v>99</v>
      </c>
      <c r="B8" s="1" t="s">
        <v>84</v>
      </c>
      <c r="C8" s="2" t="s">
        <v>100</v>
      </c>
      <c r="D8" s="1" t="s">
        <v>86</v>
      </c>
      <c r="E8" s="2"/>
      <c r="F8" s="2"/>
      <c r="G8" s="1"/>
      <c r="H8" s="3"/>
      <c r="I8" s="1"/>
      <c r="J8" s="3"/>
      <c r="K8" s="4">
        <v>45967.047777777778</v>
      </c>
      <c r="L8" s="1" t="s">
        <v>1307</v>
      </c>
      <c r="M8" s="5">
        <v>7</v>
      </c>
      <c r="N8">
        <v>21</v>
      </c>
      <c r="O8" s="1" t="s">
        <v>1304</v>
      </c>
      <c r="P8" s="1" t="s">
        <v>1305</v>
      </c>
    </row>
    <row r="9" spans="1:16" ht="16">
      <c r="A9" s="1" t="s">
        <v>102</v>
      </c>
      <c r="B9" s="1" t="s">
        <v>84</v>
      </c>
      <c r="C9" s="2" t="s">
        <v>103</v>
      </c>
      <c r="D9" s="1" t="s">
        <v>86</v>
      </c>
      <c r="E9" s="2"/>
      <c r="F9" s="2"/>
      <c r="G9" s="1"/>
      <c r="H9" s="3"/>
      <c r="I9" s="1"/>
      <c r="J9" s="3"/>
      <c r="K9" s="4">
        <v>45967.047789351855</v>
      </c>
      <c r="L9" s="1" t="s">
        <v>1307</v>
      </c>
      <c r="M9" s="5">
        <v>8</v>
      </c>
      <c r="N9">
        <v>22</v>
      </c>
      <c r="O9" s="1" t="s">
        <v>1304</v>
      </c>
      <c r="P9" s="1" t="s">
        <v>1305</v>
      </c>
    </row>
    <row r="10" spans="1:16" ht="32">
      <c r="A10" s="1" t="s">
        <v>105</v>
      </c>
      <c r="B10" s="1" t="s">
        <v>84</v>
      </c>
      <c r="C10" s="2" t="s">
        <v>106</v>
      </c>
      <c r="D10" s="1" t="s">
        <v>86</v>
      </c>
      <c r="E10" s="2"/>
      <c r="F10" s="2"/>
      <c r="G10" s="1"/>
      <c r="H10" s="3"/>
      <c r="I10" s="1"/>
      <c r="J10" s="3"/>
      <c r="K10" s="4">
        <v>45967.047824074078</v>
      </c>
      <c r="L10" s="1" t="s">
        <v>1307</v>
      </c>
      <c r="M10" s="5">
        <v>9</v>
      </c>
      <c r="N10">
        <v>23</v>
      </c>
      <c r="O10" s="1" t="s">
        <v>1304</v>
      </c>
      <c r="P10" s="1" t="s">
        <v>1305</v>
      </c>
    </row>
    <row r="11" spans="1:16" ht="16">
      <c r="A11" s="1" t="s">
        <v>108</v>
      </c>
      <c r="B11" s="1" t="s">
        <v>84</v>
      </c>
      <c r="C11" s="2" t="s">
        <v>109</v>
      </c>
      <c r="D11" s="1" t="s">
        <v>86</v>
      </c>
      <c r="E11" s="2"/>
      <c r="F11" s="2"/>
      <c r="G11" s="1"/>
      <c r="H11" s="3"/>
      <c r="I11" s="1"/>
      <c r="J11" s="3"/>
      <c r="K11" s="4">
        <v>45967.047847222224</v>
      </c>
      <c r="L11" s="1" t="s">
        <v>1307</v>
      </c>
      <c r="M11" s="5">
        <v>10</v>
      </c>
      <c r="N11">
        <v>24</v>
      </c>
      <c r="O11" s="1" t="s">
        <v>1304</v>
      </c>
      <c r="P11" s="1" t="s">
        <v>1305</v>
      </c>
    </row>
    <row r="12" spans="1:16" ht="16">
      <c r="A12" s="1" t="s">
        <v>111</v>
      </c>
      <c r="B12" s="1" t="s">
        <v>84</v>
      </c>
      <c r="C12" s="2" t="s">
        <v>112</v>
      </c>
      <c r="D12" s="1" t="s">
        <v>86</v>
      </c>
      <c r="E12" s="2"/>
      <c r="F12" s="2"/>
      <c r="G12" s="1"/>
      <c r="H12" s="3"/>
      <c r="I12" s="1"/>
      <c r="J12" s="3"/>
      <c r="K12" s="4">
        <v>45967.04787037037</v>
      </c>
      <c r="L12" s="1" t="s">
        <v>1307</v>
      </c>
      <c r="M12" s="5">
        <v>11</v>
      </c>
      <c r="N12">
        <v>25</v>
      </c>
      <c r="O12" s="1" t="s">
        <v>1304</v>
      </c>
      <c r="P12" s="1" t="s">
        <v>1305</v>
      </c>
    </row>
    <row r="13" spans="1:16" ht="96">
      <c r="A13" s="1" t="s">
        <v>114</v>
      </c>
      <c r="B13" s="1" t="s">
        <v>115</v>
      </c>
      <c r="C13" s="2" t="s">
        <v>116</v>
      </c>
      <c r="D13" s="1" t="s">
        <v>1308</v>
      </c>
      <c r="E13" s="2" t="s">
        <v>119</v>
      </c>
      <c r="F13" s="2" t="s">
        <v>120</v>
      </c>
      <c r="G13" s="1" t="s">
        <v>118</v>
      </c>
      <c r="H13" s="3">
        <v>46041</v>
      </c>
      <c r="I13" s="1" t="s">
        <v>121</v>
      </c>
      <c r="J13" s="3">
        <v>46387</v>
      </c>
      <c r="K13" s="4">
        <v>45989.954965277779</v>
      </c>
      <c r="L13" s="1" t="s">
        <v>1309</v>
      </c>
      <c r="M13" s="5">
        <v>12</v>
      </c>
      <c r="N13">
        <v>26</v>
      </c>
      <c r="O13" s="1" t="s">
        <v>1304</v>
      </c>
      <c r="P13" s="1" t="s">
        <v>1305</v>
      </c>
    </row>
    <row r="14" spans="1:16" ht="32">
      <c r="A14" s="1" t="s">
        <v>124</v>
      </c>
      <c r="B14" s="1" t="s">
        <v>125</v>
      </c>
      <c r="C14" s="2" t="s">
        <v>126</v>
      </c>
      <c r="D14" s="1" t="s">
        <v>1310</v>
      </c>
      <c r="E14" s="2"/>
      <c r="F14" s="2"/>
      <c r="G14" s="1"/>
      <c r="H14" s="3">
        <v>46053</v>
      </c>
      <c r="I14" s="1" t="s">
        <v>131</v>
      </c>
      <c r="J14" s="3">
        <v>46387</v>
      </c>
      <c r="K14" s="4">
        <v>45990.12060185185</v>
      </c>
      <c r="L14" s="1" t="s">
        <v>1311</v>
      </c>
      <c r="M14" s="5">
        <v>13</v>
      </c>
      <c r="N14">
        <v>27</v>
      </c>
      <c r="O14" s="1" t="s">
        <v>1304</v>
      </c>
      <c r="P14" s="1" t="s">
        <v>1305</v>
      </c>
    </row>
    <row r="15" spans="1:16" ht="64">
      <c r="A15" s="1" t="s">
        <v>134</v>
      </c>
      <c r="B15" s="1" t="s">
        <v>125</v>
      </c>
      <c r="C15" s="2" t="s">
        <v>135</v>
      </c>
      <c r="D15" s="1" t="s">
        <v>1310</v>
      </c>
      <c r="E15" s="2" t="s">
        <v>137</v>
      </c>
      <c r="F15" s="2" t="s">
        <v>138</v>
      </c>
      <c r="G15" s="1" t="s">
        <v>136</v>
      </c>
      <c r="H15" s="3">
        <v>46053</v>
      </c>
      <c r="I15" s="1" t="s">
        <v>139</v>
      </c>
      <c r="J15" s="3">
        <v>46387</v>
      </c>
      <c r="K15" s="4">
        <v>45990.141944444447</v>
      </c>
      <c r="L15" s="1" t="s">
        <v>1311</v>
      </c>
      <c r="M15" s="5">
        <v>14</v>
      </c>
      <c r="N15">
        <v>28</v>
      </c>
      <c r="O15" s="1" t="s">
        <v>1304</v>
      </c>
      <c r="P15" s="1" t="s">
        <v>1305</v>
      </c>
    </row>
    <row r="16" spans="1:16" ht="48">
      <c r="A16" s="1" t="s">
        <v>142</v>
      </c>
      <c r="B16" s="1" t="s">
        <v>143</v>
      </c>
      <c r="C16" s="2" t="s">
        <v>144</v>
      </c>
      <c r="D16" s="1" t="s">
        <v>145</v>
      </c>
      <c r="E16" s="2" t="s">
        <v>147</v>
      </c>
      <c r="F16" s="2" t="s">
        <v>148</v>
      </c>
      <c r="G16" s="1" t="s">
        <v>146</v>
      </c>
      <c r="H16" s="3">
        <v>46030</v>
      </c>
      <c r="I16" s="1" t="s">
        <v>149</v>
      </c>
      <c r="J16" s="3"/>
      <c r="K16" s="4">
        <v>45990.123622685183</v>
      </c>
      <c r="L16" s="1" t="s">
        <v>1311</v>
      </c>
      <c r="M16" s="5">
        <v>15</v>
      </c>
      <c r="N16">
        <v>39</v>
      </c>
      <c r="O16" s="1" t="s">
        <v>1304</v>
      </c>
      <c r="P16" s="1" t="s">
        <v>1305</v>
      </c>
    </row>
    <row r="17" spans="1:16" ht="48">
      <c r="A17" s="1" t="s">
        <v>151</v>
      </c>
      <c r="B17" s="1" t="s">
        <v>143</v>
      </c>
      <c r="C17" s="2" t="s">
        <v>152</v>
      </c>
      <c r="D17" s="1" t="s">
        <v>145</v>
      </c>
      <c r="E17" s="2" t="s">
        <v>154</v>
      </c>
      <c r="F17" s="2" t="s">
        <v>155</v>
      </c>
      <c r="G17" s="1" t="s">
        <v>153</v>
      </c>
      <c r="H17" s="3">
        <v>46053</v>
      </c>
      <c r="I17" s="1" t="s">
        <v>156</v>
      </c>
      <c r="J17" s="3">
        <v>46387</v>
      </c>
      <c r="K17" s="4">
        <v>45990.124930555554</v>
      </c>
      <c r="L17" s="1" t="s">
        <v>1311</v>
      </c>
      <c r="M17" s="5">
        <v>16</v>
      </c>
      <c r="N17">
        <v>40</v>
      </c>
      <c r="O17" s="1" t="s">
        <v>1304</v>
      </c>
      <c r="P17" s="1" t="s">
        <v>1305</v>
      </c>
    </row>
    <row r="18" spans="1:16" ht="48">
      <c r="A18" s="1" t="s">
        <v>158</v>
      </c>
      <c r="B18" s="1" t="s">
        <v>159</v>
      </c>
      <c r="C18" s="2" t="s">
        <v>160</v>
      </c>
      <c r="D18" s="1" t="s">
        <v>145</v>
      </c>
      <c r="E18" s="2" t="s">
        <v>162</v>
      </c>
      <c r="F18" s="2" t="s">
        <v>155</v>
      </c>
      <c r="G18" s="1" t="s">
        <v>161</v>
      </c>
      <c r="H18" s="3">
        <v>46030</v>
      </c>
      <c r="I18" s="1" t="s">
        <v>163</v>
      </c>
      <c r="J18" s="3"/>
      <c r="K18" s="4">
        <v>45990.127152777779</v>
      </c>
      <c r="L18" s="1" t="s">
        <v>1311</v>
      </c>
      <c r="M18" s="5">
        <v>17</v>
      </c>
      <c r="N18">
        <v>36</v>
      </c>
      <c r="O18" s="1" t="s">
        <v>1304</v>
      </c>
      <c r="P18" s="1" t="s">
        <v>1305</v>
      </c>
    </row>
    <row r="19" spans="1:16" ht="64">
      <c r="A19" s="1" t="s">
        <v>165</v>
      </c>
      <c r="B19" s="1" t="s">
        <v>159</v>
      </c>
      <c r="C19" s="2" t="s">
        <v>166</v>
      </c>
      <c r="D19" s="1" t="s">
        <v>145</v>
      </c>
      <c r="E19" s="2" t="s">
        <v>168</v>
      </c>
      <c r="F19" s="2" t="s">
        <v>169</v>
      </c>
      <c r="G19" s="1" t="s">
        <v>167</v>
      </c>
      <c r="H19" s="3">
        <v>46053</v>
      </c>
      <c r="I19" s="1" t="s">
        <v>170</v>
      </c>
      <c r="J19" s="3"/>
      <c r="K19" s="4">
        <v>45990.128680555557</v>
      </c>
      <c r="L19" s="1" t="s">
        <v>1311</v>
      </c>
      <c r="M19" s="5">
        <v>18</v>
      </c>
      <c r="N19">
        <v>37</v>
      </c>
      <c r="O19" s="1" t="s">
        <v>1304</v>
      </c>
      <c r="P19" s="1" t="s">
        <v>1305</v>
      </c>
    </row>
    <row r="20" spans="1:16" ht="64">
      <c r="A20" s="1" t="s">
        <v>172</v>
      </c>
      <c r="B20" s="1" t="s">
        <v>173</v>
      </c>
      <c r="C20" s="2" t="s">
        <v>174</v>
      </c>
      <c r="D20" s="1" t="s">
        <v>1312</v>
      </c>
      <c r="E20" s="2" t="s">
        <v>177</v>
      </c>
      <c r="F20" s="2" t="s">
        <v>178</v>
      </c>
      <c r="G20" s="1" t="s">
        <v>176</v>
      </c>
      <c r="H20" s="3"/>
      <c r="I20" s="1" t="s">
        <v>179</v>
      </c>
      <c r="J20" s="3"/>
      <c r="K20" s="4">
        <v>45989.963703703703</v>
      </c>
      <c r="L20" s="1" t="s">
        <v>1313</v>
      </c>
      <c r="M20" s="5">
        <v>19</v>
      </c>
      <c r="N20">
        <v>33</v>
      </c>
      <c r="O20" s="1" t="s">
        <v>1304</v>
      </c>
      <c r="P20" s="1" t="s">
        <v>1305</v>
      </c>
    </row>
    <row r="21" spans="1:16" ht="409.6">
      <c r="A21" s="1" t="s">
        <v>181</v>
      </c>
      <c r="B21" s="1" t="s">
        <v>182</v>
      </c>
      <c r="C21" s="2" t="s">
        <v>183</v>
      </c>
      <c r="D21" s="1" t="s">
        <v>184</v>
      </c>
      <c r="E21" s="2" t="s">
        <v>1314</v>
      </c>
      <c r="F21" s="2" t="s">
        <v>1315</v>
      </c>
      <c r="G21" s="1" t="s">
        <v>1316</v>
      </c>
      <c r="H21" s="3">
        <v>46053</v>
      </c>
      <c r="I21" s="1" t="s">
        <v>188</v>
      </c>
      <c r="J21" s="3">
        <v>46376</v>
      </c>
      <c r="K21" s="4">
        <v>45992.44935185185</v>
      </c>
      <c r="L21" s="1" t="s">
        <v>1317</v>
      </c>
      <c r="M21" s="5">
        <v>20</v>
      </c>
      <c r="N21">
        <v>34</v>
      </c>
      <c r="O21" s="1" t="s">
        <v>1304</v>
      </c>
      <c r="P21" s="1" t="s">
        <v>1305</v>
      </c>
    </row>
    <row r="22" spans="1:16" ht="409.6">
      <c r="A22" s="1" t="s">
        <v>191</v>
      </c>
      <c r="B22" s="1" t="s">
        <v>182</v>
      </c>
      <c r="C22" s="2" t="s">
        <v>192</v>
      </c>
      <c r="D22" s="1" t="s">
        <v>184</v>
      </c>
      <c r="E22" s="2" t="s">
        <v>1314</v>
      </c>
      <c r="F22" s="2" t="s">
        <v>1318</v>
      </c>
      <c r="G22" s="1" t="s">
        <v>1316</v>
      </c>
      <c r="H22" s="3">
        <v>46053</v>
      </c>
      <c r="I22" s="1"/>
      <c r="J22" s="3">
        <v>46376</v>
      </c>
      <c r="K22" s="4">
        <v>45992.449629629627</v>
      </c>
      <c r="L22" s="1" t="s">
        <v>1317</v>
      </c>
      <c r="M22" s="5">
        <v>21</v>
      </c>
      <c r="N22">
        <v>54</v>
      </c>
      <c r="O22" s="1" t="s">
        <v>1304</v>
      </c>
      <c r="P22" s="1" t="s">
        <v>1305</v>
      </c>
    </row>
    <row r="23" spans="1:16" ht="32">
      <c r="A23" s="1" t="s">
        <v>196</v>
      </c>
      <c r="B23" s="1" t="s">
        <v>197</v>
      </c>
      <c r="C23" s="2" t="s">
        <v>198</v>
      </c>
      <c r="D23" s="1" t="s">
        <v>199</v>
      </c>
      <c r="E23" s="2"/>
      <c r="F23" s="2"/>
      <c r="G23" s="1"/>
      <c r="H23" s="3"/>
      <c r="I23" s="1"/>
      <c r="J23" s="3"/>
      <c r="K23" s="4">
        <v>45968.816307870373</v>
      </c>
      <c r="L23" s="1" t="s">
        <v>1307</v>
      </c>
      <c r="M23" s="5">
        <v>22</v>
      </c>
      <c r="N23">
        <v>42</v>
      </c>
      <c r="O23" s="1" t="s">
        <v>1304</v>
      </c>
      <c r="P23" s="1" t="s">
        <v>1305</v>
      </c>
    </row>
    <row r="24" spans="1:16" ht="32">
      <c r="A24" s="1" t="s">
        <v>201</v>
      </c>
      <c r="B24" s="1" t="s">
        <v>202</v>
      </c>
      <c r="C24" s="2" t="s">
        <v>203</v>
      </c>
      <c r="D24" s="1" t="s">
        <v>35</v>
      </c>
      <c r="E24" s="2"/>
      <c r="F24" s="2"/>
      <c r="G24" s="1"/>
      <c r="H24" s="3"/>
      <c r="I24" s="1"/>
      <c r="J24" s="3"/>
      <c r="K24" s="4">
        <v>45968.816342592596</v>
      </c>
      <c r="L24" s="1" t="s">
        <v>1307</v>
      </c>
      <c r="M24" s="5">
        <v>23</v>
      </c>
      <c r="N24">
        <v>43</v>
      </c>
      <c r="O24" s="1" t="s">
        <v>1304</v>
      </c>
      <c r="P24" s="1" t="s">
        <v>1305</v>
      </c>
    </row>
    <row r="25" spans="1:16" ht="32">
      <c r="A25" s="1" t="s">
        <v>205</v>
      </c>
      <c r="B25" s="1" t="s">
        <v>202</v>
      </c>
      <c r="C25" s="2" t="s">
        <v>206</v>
      </c>
      <c r="D25" s="1" t="s">
        <v>35</v>
      </c>
      <c r="E25" s="2"/>
      <c r="F25" s="2"/>
      <c r="G25" s="1"/>
      <c r="H25" s="3"/>
      <c r="I25" s="1"/>
      <c r="J25" s="3"/>
      <c r="K25" s="4">
        <v>45967.048194444447</v>
      </c>
      <c r="L25" s="1" t="s">
        <v>1307</v>
      </c>
      <c r="M25" s="5">
        <v>24</v>
      </c>
      <c r="N25">
        <v>44</v>
      </c>
      <c r="O25" s="1" t="s">
        <v>1304</v>
      </c>
      <c r="P25" s="1" t="s">
        <v>1305</v>
      </c>
    </row>
    <row r="26" spans="1:16" ht="32">
      <c r="A26" s="1" t="s">
        <v>208</v>
      </c>
      <c r="B26" s="1" t="s">
        <v>202</v>
      </c>
      <c r="C26" s="2" t="s">
        <v>209</v>
      </c>
      <c r="D26" s="1" t="s">
        <v>35</v>
      </c>
      <c r="E26" s="2"/>
      <c r="F26" s="2"/>
      <c r="G26" s="1"/>
      <c r="H26" s="3"/>
      <c r="I26" s="1"/>
      <c r="J26" s="3"/>
      <c r="K26" s="4">
        <v>45967.048229166663</v>
      </c>
      <c r="L26" s="1" t="s">
        <v>1307</v>
      </c>
      <c r="M26" s="5">
        <v>25</v>
      </c>
      <c r="N26">
        <v>46</v>
      </c>
      <c r="O26" s="1" t="s">
        <v>1304</v>
      </c>
      <c r="P26" s="1" t="s">
        <v>1305</v>
      </c>
    </row>
    <row r="27" spans="1:16" ht="16">
      <c r="A27" s="1" t="s">
        <v>211</v>
      </c>
      <c r="B27" s="1" t="s">
        <v>202</v>
      </c>
      <c r="C27" s="2" t="s">
        <v>212</v>
      </c>
      <c r="D27" s="1" t="s">
        <v>35</v>
      </c>
      <c r="E27" s="2"/>
      <c r="F27" s="2"/>
      <c r="G27" s="1"/>
      <c r="H27" s="3"/>
      <c r="I27" s="1"/>
      <c r="J27" s="3"/>
      <c r="K27" s="4">
        <v>45967.04824074074</v>
      </c>
      <c r="L27" s="1" t="s">
        <v>1307</v>
      </c>
      <c r="M27" s="5">
        <v>26</v>
      </c>
      <c r="N27">
        <v>47</v>
      </c>
      <c r="O27" s="1" t="s">
        <v>1304</v>
      </c>
      <c r="P27" s="1" t="s">
        <v>1305</v>
      </c>
    </row>
    <row r="28" spans="1:16" ht="32">
      <c r="A28" s="1" t="s">
        <v>214</v>
      </c>
      <c r="B28" s="1" t="s">
        <v>215</v>
      </c>
      <c r="C28" s="2" t="s">
        <v>216</v>
      </c>
      <c r="D28" s="1" t="s">
        <v>35</v>
      </c>
      <c r="E28" s="2"/>
      <c r="F28" s="2"/>
      <c r="G28" s="1"/>
      <c r="H28" s="3"/>
      <c r="I28" s="1"/>
      <c r="J28" s="3"/>
      <c r="K28" s="4">
        <v>45967.048275462963</v>
      </c>
      <c r="L28" s="1" t="s">
        <v>1307</v>
      </c>
      <c r="M28" s="5">
        <v>27</v>
      </c>
      <c r="N28">
        <v>45</v>
      </c>
      <c r="O28" s="1" t="s">
        <v>1304</v>
      </c>
      <c r="P28" s="1" t="s">
        <v>1305</v>
      </c>
    </row>
    <row r="29" spans="1:16" ht="64">
      <c r="A29" s="1" t="s">
        <v>218</v>
      </c>
      <c r="B29" s="1" t="s">
        <v>219</v>
      </c>
      <c r="C29" s="2" t="s">
        <v>220</v>
      </c>
      <c r="D29" s="1" t="s">
        <v>1319</v>
      </c>
      <c r="E29" s="2" t="s">
        <v>168</v>
      </c>
      <c r="F29" s="2" t="s">
        <v>155</v>
      </c>
      <c r="G29" s="1" t="s">
        <v>222</v>
      </c>
      <c r="H29" s="3">
        <v>46030</v>
      </c>
      <c r="I29" s="1" t="s">
        <v>223</v>
      </c>
      <c r="J29" s="3">
        <v>46387</v>
      </c>
      <c r="K29" s="4">
        <v>45990.131747685184</v>
      </c>
      <c r="L29" s="1" t="s">
        <v>1311</v>
      </c>
      <c r="M29" s="5">
        <v>28</v>
      </c>
      <c r="N29">
        <v>48</v>
      </c>
      <c r="O29" s="1" t="s">
        <v>1304</v>
      </c>
      <c r="P29" s="1" t="s">
        <v>1305</v>
      </c>
    </row>
    <row r="30" spans="1:16" ht="16">
      <c r="A30" s="1" t="s">
        <v>226</v>
      </c>
      <c r="B30" s="1" t="s">
        <v>219</v>
      </c>
      <c r="C30" s="2" t="s">
        <v>227</v>
      </c>
      <c r="D30" s="1" t="s">
        <v>1319</v>
      </c>
      <c r="E30" s="2"/>
      <c r="F30" s="2"/>
      <c r="G30" s="1" t="s">
        <v>228</v>
      </c>
      <c r="H30" s="3"/>
      <c r="I30" s="1"/>
      <c r="J30" s="3"/>
      <c r="K30" s="4">
        <v>45990.145740740743</v>
      </c>
      <c r="L30" s="1" t="s">
        <v>1311</v>
      </c>
      <c r="M30" s="5">
        <v>29</v>
      </c>
      <c r="N30">
        <v>50</v>
      </c>
      <c r="O30" s="1" t="s">
        <v>1304</v>
      </c>
      <c r="P30" s="1" t="s">
        <v>1305</v>
      </c>
    </row>
    <row r="31" spans="1:16" ht="64">
      <c r="A31" s="1" t="s">
        <v>230</v>
      </c>
      <c r="B31" s="1" t="s">
        <v>231</v>
      </c>
      <c r="C31" s="2" t="s">
        <v>232</v>
      </c>
      <c r="D31" s="1" t="s">
        <v>1320</v>
      </c>
      <c r="E31" s="2" t="s">
        <v>235</v>
      </c>
      <c r="F31" s="2" t="s">
        <v>236</v>
      </c>
      <c r="G31" s="1" t="s">
        <v>234</v>
      </c>
      <c r="H31" s="3">
        <v>46053</v>
      </c>
      <c r="I31" s="1" t="s">
        <v>237</v>
      </c>
      <c r="J31" s="3">
        <v>46387</v>
      </c>
      <c r="K31" s="4">
        <v>45990.13484953704</v>
      </c>
      <c r="L31" s="1" t="s">
        <v>1311</v>
      </c>
      <c r="M31" s="5">
        <v>30</v>
      </c>
      <c r="N31">
        <v>19</v>
      </c>
      <c r="O31" s="1" t="s">
        <v>1304</v>
      </c>
      <c r="P31" s="1" t="s">
        <v>1305</v>
      </c>
    </row>
    <row r="32" spans="1:16" ht="64">
      <c r="A32" s="1" t="s">
        <v>239</v>
      </c>
      <c r="B32" s="1" t="s">
        <v>231</v>
      </c>
      <c r="C32" s="2" t="s">
        <v>240</v>
      </c>
      <c r="D32" s="1" t="s">
        <v>1320</v>
      </c>
      <c r="E32" s="2" t="s">
        <v>235</v>
      </c>
      <c r="F32" s="2" t="s">
        <v>236</v>
      </c>
      <c r="G32" s="1" t="s">
        <v>241</v>
      </c>
      <c r="H32" s="3">
        <v>46053</v>
      </c>
      <c r="I32" s="1" t="s">
        <v>242</v>
      </c>
      <c r="J32" s="3">
        <v>46233</v>
      </c>
      <c r="K32" s="4">
        <v>45990.137037037035</v>
      </c>
      <c r="L32" s="1" t="s">
        <v>1311</v>
      </c>
      <c r="M32" s="5">
        <v>31</v>
      </c>
      <c r="N32">
        <v>57</v>
      </c>
      <c r="O32" s="1" t="s">
        <v>1304</v>
      </c>
      <c r="P32" s="1" t="s">
        <v>1305</v>
      </c>
    </row>
    <row r="33" spans="1:16" ht="32">
      <c r="A33" s="1" t="s">
        <v>244</v>
      </c>
      <c r="B33" s="1" t="s">
        <v>245</v>
      </c>
      <c r="C33" s="2" t="s">
        <v>246</v>
      </c>
      <c r="D33" s="1" t="s">
        <v>1321</v>
      </c>
      <c r="E33" s="2"/>
      <c r="F33" s="2"/>
      <c r="G33" s="1"/>
      <c r="H33" s="3"/>
      <c r="I33" s="1"/>
      <c r="J33" s="3"/>
      <c r="K33" s="4">
        <v>45968.816412037035</v>
      </c>
      <c r="L33" s="1" t="s">
        <v>1307</v>
      </c>
      <c r="M33" s="5">
        <v>32</v>
      </c>
      <c r="N33">
        <v>63</v>
      </c>
      <c r="O33" s="1" t="s">
        <v>1304</v>
      </c>
      <c r="P33" s="1" t="s">
        <v>1305</v>
      </c>
    </row>
    <row r="34" spans="1:16" ht="16">
      <c r="A34" s="1" t="s">
        <v>250</v>
      </c>
      <c r="B34" s="1" t="s">
        <v>245</v>
      </c>
      <c r="C34" s="2" t="s">
        <v>251</v>
      </c>
      <c r="D34" s="1" t="s">
        <v>1321</v>
      </c>
      <c r="E34" s="2"/>
      <c r="F34" s="2"/>
      <c r="G34" s="1"/>
      <c r="H34" s="3"/>
      <c r="I34" s="1"/>
      <c r="J34" s="3"/>
      <c r="K34" s="4">
        <v>45967.048414351855</v>
      </c>
      <c r="L34" s="1" t="s">
        <v>1307</v>
      </c>
      <c r="M34" s="5">
        <v>33</v>
      </c>
      <c r="N34">
        <v>64</v>
      </c>
      <c r="O34" s="1" t="s">
        <v>1304</v>
      </c>
      <c r="P34" s="1" t="s">
        <v>1305</v>
      </c>
    </row>
    <row r="35" spans="1:16" ht="32">
      <c r="A35" s="1" t="s">
        <v>253</v>
      </c>
      <c r="B35" s="1" t="s">
        <v>245</v>
      </c>
      <c r="C35" s="2" t="s">
        <v>254</v>
      </c>
      <c r="D35" s="1" t="s">
        <v>1321</v>
      </c>
      <c r="E35" s="2"/>
      <c r="F35" s="2"/>
      <c r="G35" s="1"/>
      <c r="H35" s="3"/>
      <c r="I35" s="1"/>
      <c r="J35" s="3"/>
      <c r="K35" s="4">
        <v>45967.048449074071</v>
      </c>
      <c r="L35" s="1" t="s">
        <v>1307</v>
      </c>
      <c r="M35" s="5">
        <v>34</v>
      </c>
      <c r="N35">
        <v>65</v>
      </c>
      <c r="O35" s="1" t="s">
        <v>1304</v>
      </c>
      <c r="P35" s="1" t="s">
        <v>1305</v>
      </c>
    </row>
    <row r="36" spans="1:16" ht="32">
      <c r="A36" s="1" t="s">
        <v>256</v>
      </c>
      <c r="B36" s="1" t="s">
        <v>245</v>
      </c>
      <c r="C36" s="2" t="s">
        <v>257</v>
      </c>
      <c r="D36" s="1" t="s">
        <v>1321</v>
      </c>
      <c r="E36" s="2"/>
      <c r="F36" s="2"/>
      <c r="G36" s="1"/>
      <c r="H36" s="3"/>
      <c r="I36" s="1"/>
      <c r="J36" s="3"/>
      <c r="K36" s="4">
        <v>45967.048472222225</v>
      </c>
      <c r="L36" s="1" t="s">
        <v>1307</v>
      </c>
      <c r="M36" s="5">
        <v>35</v>
      </c>
      <c r="N36">
        <v>78</v>
      </c>
      <c r="O36" s="1" t="s">
        <v>1304</v>
      </c>
      <c r="P36" s="1" t="s">
        <v>1305</v>
      </c>
    </row>
    <row r="37" spans="1:16" ht="16">
      <c r="A37" s="1" t="s">
        <v>259</v>
      </c>
      <c r="B37" s="1" t="s">
        <v>245</v>
      </c>
      <c r="C37" s="2" t="s">
        <v>260</v>
      </c>
      <c r="D37" s="1" t="s">
        <v>1321</v>
      </c>
      <c r="E37" s="2"/>
      <c r="F37" s="2"/>
      <c r="G37" s="1"/>
      <c r="H37" s="3"/>
      <c r="I37" s="1"/>
      <c r="J37" s="3"/>
      <c r="K37" s="4">
        <v>45967.048495370371</v>
      </c>
      <c r="L37" s="1" t="s">
        <v>1307</v>
      </c>
      <c r="M37" s="5">
        <v>36</v>
      </c>
      <c r="N37">
        <v>67</v>
      </c>
      <c r="O37" s="1" t="s">
        <v>1304</v>
      </c>
      <c r="P37" s="1" t="s">
        <v>1305</v>
      </c>
    </row>
    <row r="38" spans="1:16" ht="48">
      <c r="A38" s="1" t="s">
        <v>262</v>
      </c>
      <c r="B38" s="1" t="s">
        <v>263</v>
      </c>
      <c r="C38" s="2" t="s">
        <v>264</v>
      </c>
      <c r="D38" s="1" t="s">
        <v>1322</v>
      </c>
      <c r="E38" s="2"/>
      <c r="F38" s="2"/>
      <c r="G38" s="1"/>
      <c r="H38" s="3"/>
      <c r="I38" s="1"/>
      <c r="J38" s="3"/>
      <c r="K38" s="4">
        <v>45967.890694444446</v>
      </c>
      <c r="L38" s="1" t="s">
        <v>1307</v>
      </c>
      <c r="M38" s="5">
        <v>37</v>
      </c>
      <c r="N38">
        <v>77</v>
      </c>
      <c r="O38" s="1" t="s">
        <v>1304</v>
      </c>
      <c r="P38" s="1" t="s">
        <v>1305</v>
      </c>
    </row>
    <row r="39" spans="1:16" ht="32">
      <c r="A39" s="1" t="s">
        <v>267</v>
      </c>
      <c r="B39" s="1" t="s">
        <v>263</v>
      </c>
      <c r="C39" s="2" t="s">
        <v>268</v>
      </c>
      <c r="D39" s="1" t="s">
        <v>1322</v>
      </c>
      <c r="E39" s="2"/>
      <c r="F39" s="2"/>
      <c r="G39" s="1"/>
      <c r="H39" s="3"/>
      <c r="I39" s="1"/>
      <c r="J39" s="3"/>
      <c r="K39" s="4">
        <v>45967.048541666663</v>
      </c>
      <c r="L39" s="1" t="s">
        <v>1307</v>
      </c>
      <c r="M39" s="5">
        <v>38</v>
      </c>
      <c r="N39">
        <v>62</v>
      </c>
      <c r="O39" s="1" t="s">
        <v>1304</v>
      </c>
      <c r="P39" s="1" t="s">
        <v>1305</v>
      </c>
    </row>
    <row r="40" spans="1:16" ht="32">
      <c r="A40" s="1" t="s">
        <v>270</v>
      </c>
      <c r="B40" s="1" t="s">
        <v>271</v>
      </c>
      <c r="C40" s="2" t="s">
        <v>272</v>
      </c>
      <c r="D40" s="1" t="s">
        <v>1323</v>
      </c>
      <c r="E40" s="2"/>
      <c r="F40" s="2"/>
      <c r="G40" s="1"/>
      <c r="H40" s="3"/>
      <c r="I40" s="1"/>
      <c r="J40" s="3"/>
      <c r="K40" s="4">
        <v>45967.048564814817</v>
      </c>
      <c r="L40" s="1" t="s">
        <v>1307</v>
      </c>
      <c r="M40" s="5">
        <v>39</v>
      </c>
      <c r="N40">
        <v>71</v>
      </c>
      <c r="O40" s="1" t="s">
        <v>1304</v>
      </c>
      <c r="P40" s="1" t="s">
        <v>1305</v>
      </c>
    </row>
    <row r="41" spans="1:16" ht="16">
      <c r="A41" s="1" t="s">
        <v>275</v>
      </c>
      <c r="B41" s="1" t="s">
        <v>271</v>
      </c>
      <c r="C41" s="2" t="s">
        <v>276</v>
      </c>
      <c r="D41" s="1" t="s">
        <v>1323</v>
      </c>
      <c r="E41" s="2"/>
      <c r="F41" s="2"/>
      <c r="G41" s="1"/>
      <c r="H41" s="3"/>
      <c r="I41" s="1"/>
      <c r="J41" s="3"/>
      <c r="K41" s="4">
        <v>45967.04859953704</v>
      </c>
      <c r="L41" s="1" t="s">
        <v>1307</v>
      </c>
      <c r="M41" s="5">
        <v>40</v>
      </c>
      <c r="N41">
        <v>72</v>
      </c>
      <c r="O41" s="1" t="s">
        <v>1304</v>
      </c>
      <c r="P41" s="1" t="s">
        <v>1305</v>
      </c>
    </row>
    <row r="42" spans="1:16" ht="32">
      <c r="A42" s="1" t="s">
        <v>278</v>
      </c>
      <c r="B42" s="1" t="s">
        <v>271</v>
      </c>
      <c r="C42" s="2" t="s">
        <v>279</v>
      </c>
      <c r="D42" s="1" t="s">
        <v>1323</v>
      </c>
      <c r="E42" s="2"/>
      <c r="F42" s="2"/>
      <c r="G42" s="1"/>
      <c r="H42" s="3"/>
      <c r="I42" s="1"/>
      <c r="J42" s="3"/>
      <c r="K42" s="4">
        <v>45967.048622685186</v>
      </c>
      <c r="L42" s="1" t="s">
        <v>1307</v>
      </c>
      <c r="M42" s="5">
        <v>41</v>
      </c>
      <c r="N42">
        <v>73</v>
      </c>
      <c r="O42" s="1" t="s">
        <v>1304</v>
      </c>
      <c r="P42" s="1" t="s">
        <v>1305</v>
      </c>
    </row>
    <row r="43" spans="1:16" ht="409.6">
      <c r="A43" s="1" t="s">
        <v>281</v>
      </c>
      <c r="B43" s="1" t="s">
        <v>282</v>
      </c>
      <c r="C43" s="2" t="s">
        <v>283</v>
      </c>
      <c r="D43" s="1" t="s">
        <v>1324</v>
      </c>
      <c r="E43" s="2" t="s">
        <v>286</v>
      </c>
      <c r="F43" s="2" t="s">
        <v>287</v>
      </c>
      <c r="G43" s="1" t="s">
        <v>285</v>
      </c>
      <c r="H43" s="3">
        <v>46053</v>
      </c>
      <c r="I43" s="1" t="s">
        <v>288</v>
      </c>
      <c r="J43" s="3">
        <v>46357</v>
      </c>
      <c r="K43" s="4">
        <v>45989.730081018519</v>
      </c>
      <c r="L43" s="1" t="s">
        <v>1325</v>
      </c>
      <c r="M43" s="5">
        <v>42</v>
      </c>
      <c r="N43">
        <v>68</v>
      </c>
      <c r="O43" s="1" t="s">
        <v>1304</v>
      </c>
      <c r="P43" s="1" t="s">
        <v>1305</v>
      </c>
    </row>
    <row r="44" spans="1:16" ht="16">
      <c r="A44" s="1" t="s">
        <v>290</v>
      </c>
      <c r="B44" s="1" t="s">
        <v>282</v>
      </c>
      <c r="C44" s="2" t="s">
        <v>291</v>
      </c>
      <c r="D44" s="1" t="s">
        <v>1324</v>
      </c>
      <c r="E44" s="2"/>
      <c r="F44" s="2"/>
      <c r="G44" s="1"/>
      <c r="H44" s="3"/>
      <c r="I44" s="1"/>
      <c r="J44" s="3"/>
      <c r="K44" s="4">
        <v>45989.68472222222</v>
      </c>
      <c r="L44" s="1" t="s">
        <v>1326</v>
      </c>
      <c r="M44" s="5">
        <v>43</v>
      </c>
      <c r="N44">
        <v>69</v>
      </c>
      <c r="O44" s="1" t="s">
        <v>1304</v>
      </c>
      <c r="P44" s="1" t="s">
        <v>1305</v>
      </c>
    </row>
    <row r="45" spans="1:16" ht="64">
      <c r="A45" s="1" t="s">
        <v>293</v>
      </c>
      <c r="B45" s="1" t="s">
        <v>282</v>
      </c>
      <c r="C45" s="2" t="s">
        <v>294</v>
      </c>
      <c r="D45" s="1" t="s">
        <v>1324</v>
      </c>
      <c r="E45" s="2" t="s">
        <v>296</v>
      </c>
      <c r="F45" s="2" t="s">
        <v>297</v>
      </c>
      <c r="G45" s="1" t="s">
        <v>295</v>
      </c>
      <c r="H45" s="3">
        <v>46053</v>
      </c>
      <c r="I45" s="1" t="s">
        <v>298</v>
      </c>
      <c r="J45" s="3">
        <v>46357</v>
      </c>
      <c r="K45" s="4">
        <v>45989.415532407409</v>
      </c>
      <c r="L45" s="1" t="s">
        <v>1327</v>
      </c>
      <c r="M45" s="5">
        <v>44</v>
      </c>
      <c r="N45">
        <v>70</v>
      </c>
      <c r="O45" s="1" t="s">
        <v>1304</v>
      </c>
      <c r="P45" s="1" t="s">
        <v>1305</v>
      </c>
    </row>
    <row r="46" spans="1:16" ht="112">
      <c r="A46" s="1" t="s">
        <v>300</v>
      </c>
      <c r="B46" s="1" t="s">
        <v>301</v>
      </c>
      <c r="C46" s="2" t="s">
        <v>302</v>
      </c>
      <c r="D46" s="1" t="s">
        <v>1328</v>
      </c>
      <c r="E46" s="2" t="s">
        <v>305</v>
      </c>
      <c r="F46" s="2" t="s">
        <v>306</v>
      </c>
      <c r="G46" s="1" t="s">
        <v>304</v>
      </c>
      <c r="H46" s="3">
        <v>46052</v>
      </c>
      <c r="I46" s="1" t="s">
        <v>307</v>
      </c>
      <c r="J46" s="3">
        <v>46203</v>
      </c>
      <c r="K46" s="4">
        <v>45989.418078703704</v>
      </c>
      <c r="L46" s="1" t="s">
        <v>1329</v>
      </c>
      <c r="M46" s="5">
        <v>45</v>
      </c>
      <c r="N46">
        <v>74</v>
      </c>
      <c r="O46" s="1" t="s">
        <v>1304</v>
      </c>
      <c r="P46" s="1" t="s">
        <v>1305</v>
      </c>
    </row>
    <row r="47" spans="1:16" ht="112">
      <c r="A47" s="1" t="s">
        <v>309</v>
      </c>
      <c r="B47" s="1" t="s">
        <v>301</v>
      </c>
      <c r="C47" s="2" t="s">
        <v>310</v>
      </c>
      <c r="D47" s="1" t="s">
        <v>1328</v>
      </c>
      <c r="E47" s="2" t="s">
        <v>305</v>
      </c>
      <c r="F47" s="2" t="s">
        <v>306</v>
      </c>
      <c r="G47" s="1" t="s">
        <v>304</v>
      </c>
      <c r="H47" s="3">
        <v>46052</v>
      </c>
      <c r="I47" s="1" t="s">
        <v>311</v>
      </c>
      <c r="J47" s="3">
        <v>46371</v>
      </c>
      <c r="K47" s="4">
        <v>45989.419988425929</v>
      </c>
      <c r="L47" s="1" t="s">
        <v>1329</v>
      </c>
      <c r="M47" s="5">
        <v>46</v>
      </c>
      <c r="N47">
        <v>75</v>
      </c>
      <c r="O47" s="1" t="s">
        <v>1304</v>
      </c>
      <c r="P47" s="1" t="s">
        <v>1305</v>
      </c>
    </row>
    <row r="48" spans="1:16" ht="112">
      <c r="A48" s="1" t="s">
        <v>313</v>
      </c>
      <c r="B48" s="1" t="s">
        <v>301</v>
      </c>
      <c r="C48" s="2" t="s">
        <v>314</v>
      </c>
      <c r="D48" s="1" t="s">
        <v>1328</v>
      </c>
      <c r="E48" s="2" t="s">
        <v>305</v>
      </c>
      <c r="F48" s="2" t="s">
        <v>316</v>
      </c>
      <c r="G48" s="1" t="s">
        <v>315</v>
      </c>
      <c r="H48" s="3">
        <v>46052</v>
      </c>
      <c r="I48" s="1" t="s">
        <v>317</v>
      </c>
      <c r="J48" s="3">
        <v>46203</v>
      </c>
      <c r="K48" s="4">
        <v>45989.421354166669</v>
      </c>
      <c r="L48" s="1" t="s">
        <v>1329</v>
      </c>
      <c r="M48" s="5">
        <v>47</v>
      </c>
      <c r="N48">
        <v>76</v>
      </c>
      <c r="O48" s="1" t="s">
        <v>1304</v>
      </c>
      <c r="P48" s="1" t="s">
        <v>1305</v>
      </c>
    </row>
    <row r="49" spans="1:16" ht="112">
      <c r="A49" s="1" t="s">
        <v>319</v>
      </c>
      <c r="B49" s="1" t="s">
        <v>301</v>
      </c>
      <c r="C49" s="2" t="s">
        <v>320</v>
      </c>
      <c r="D49" s="1" t="s">
        <v>1328</v>
      </c>
      <c r="E49" s="2" t="s">
        <v>305</v>
      </c>
      <c r="F49" s="2" t="s">
        <v>316</v>
      </c>
      <c r="G49" s="1" t="s">
        <v>321</v>
      </c>
      <c r="H49" s="3">
        <v>46052</v>
      </c>
      <c r="I49" s="1" t="s">
        <v>322</v>
      </c>
      <c r="J49" s="3">
        <v>46112</v>
      </c>
      <c r="K49" s="4">
        <v>45989.422997685186</v>
      </c>
      <c r="L49" s="1" t="s">
        <v>1329</v>
      </c>
      <c r="M49" s="5">
        <v>48</v>
      </c>
      <c r="N49">
        <v>91</v>
      </c>
      <c r="O49" s="1" t="s">
        <v>1304</v>
      </c>
      <c r="P49" s="1" t="s">
        <v>1305</v>
      </c>
    </row>
    <row r="50" spans="1:16" ht="32">
      <c r="A50" s="1" t="s">
        <v>324</v>
      </c>
      <c r="B50" s="1" t="s">
        <v>325</v>
      </c>
      <c r="C50" s="2" t="s">
        <v>326</v>
      </c>
      <c r="D50" s="1" t="s">
        <v>1330</v>
      </c>
      <c r="E50" s="2"/>
      <c r="F50" s="2"/>
      <c r="G50" s="1"/>
      <c r="H50" s="3"/>
      <c r="I50" s="1"/>
      <c r="J50" s="3"/>
      <c r="K50" s="4">
        <v>45967.048796296294</v>
      </c>
      <c r="L50" s="1" t="s">
        <v>1307</v>
      </c>
      <c r="M50" s="5">
        <v>49</v>
      </c>
      <c r="N50">
        <v>80</v>
      </c>
      <c r="O50" s="1" t="s">
        <v>1304</v>
      </c>
      <c r="P50" s="1" t="s">
        <v>1305</v>
      </c>
    </row>
    <row r="51" spans="1:16" ht="32">
      <c r="A51" s="1" t="s">
        <v>329</v>
      </c>
      <c r="B51" s="1" t="s">
        <v>325</v>
      </c>
      <c r="C51" s="2" t="s">
        <v>330</v>
      </c>
      <c r="D51" s="1" t="s">
        <v>1330</v>
      </c>
      <c r="E51" s="2"/>
      <c r="F51" s="2"/>
      <c r="G51" s="1"/>
      <c r="H51" s="3"/>
      <c r="I51" s="1"/>
      <c r="J51" s="3"/>
      <c r="K51" s="4">
        <v>45967.048831018517</v>
      </c>
      <c r="L51" s="1" t="s">
        <v>1307</v>
      </c>
      <c r="M51" s="5">
        <v>50</v>
      </c>
      <c r="N51">
        <v>81</v>
      </c>
      <c r="O51" s="1" t="s">
        <v>1304</v>
      </c>
      <c r="P51" s="1" t="s">
        <v>1305</v>
      </c>
    </row>
    <row r="52" spans="1:16" ht="32">
      <c r="A52" s="1" t="s">
        <v>332</v>
      </c>
      <c r="B52" s="1" t="s">
        <v>325</v>
      </c>
      <c r="C52" s="2" t="s">
        <v>333</v>
      </c>
      <c r="D52" s="1" t="s">
        <v>1330</v>
      </c>
      <c r="E52" s="2"/>
      <c r="F52" s="2"/>
      <c r="G52" s="1"/>
      <c r="H52" s="3"/>
      <c r="I52" s="1"/>
      <c r="J52" s="3"/>
      <c r="K52" s="4">
        <v>45967.048842592594</v>
      </c>
      <c r="L52" s="1" t="s">
        <v>1307</v>
      </c>
      <c r="M52" s="5">
        <v>51</v>
      </c>
      <c r="N52">
        <v>83</v>
      </c>
      <c r="O52" s="1" t="s">
        <v>1304</v>
      </c>
      <c r="P52" s="1" t="s">
        <v>1305</v>
      </c>
    </row>
    <row r="53" spans="1:16" ht="32">
      <c r="A53" s="1" t="s">
        <v>335</v>
      </c>
      <c r="B53" s="1" t="s">
        <v>336</v>
      </c>
      <c r="C53" s="2" t="s">
        <v>337</v>
      </c>
      <c r="D53" s="1" t="s">
        <v>338</v>
      </c>
      <c r="E53" s="2"/>
      <c r="F53" s="2"/>
      <c r="G53" s="1"/>
      <c r="H53" s="3"/>
      <c r="I53" s="1"/>
      <c r="J53" s="3"/>
      <c r="K53" s="4">
        <v>45967.048877314817</v>
      </c>
      <c r="L53" s="1" t="s">
        <v>1307</v>
      </c>
      <c r="M53" s="5">
        <v>52</v>
      </c>
      <c r="N53">
        <v>88</v>
      </c>
      <c r="O53" s="1" t="s">
        <v>1304</v>
      </c>
      <c r="P53" s="1" t="s">
        <v>1305</v>
      </c>
    </row>
    <row r="54" spans="1:16" ht="32">
      <c r="A54" s="1" t="s">
        <v>340</v>
      </c>
      <c r="B54" s="1" t="s">
        <v>336</v>
      </c>
      <c r="C54" s="2" t="s">
        <v>341</v>
      </c>
      <c r="D54" s="1" t="s">
        <v>338</v>
      </c>
      <c r="E54" s="2"/>
      <c r="F54" s="2"/>
      <c r="G54" s="1"/>
      <c r="H54" s="3"/>
      <c r="I54" s="1"/>
      <c r="J54" s="3"/>
      <c r="K54" s="4">
        <v>45967.048888888887</v>
      </c>
      <c r="L54" s="1" t="s">
        <v>1307</v>
      </c>
      <c r="M54" s="5">
        <v>53</v>
      </c>
      <c r="N54">
        <v>89</v>
      </c>
      <c r="O54" s="1" t="s">
        <v>1304</v>
      </c>
      <c r="P54" s="1" t="s">
        <v>1305</v>
      </c>
    </row>
    <row r="55" spans="1:16" ht="32">
      <c r="A55" s="1" t="s">
        <v>343</v>
      </c>
      <c r="B55" s="1" t="s">
        <v>336</v>
      </c>
      <c r="C55" s="2" t="s">
        <v>344</v>
      </c>
      <c r="D55" s="1" t="s">
        <v>338</v>
      </c>
      <c r="E55" s="2"/>
      <c r="F55" s="2"/>
      <c r="G55" s="1"/>
      <c r="H55" s="3"/>
      <c r="I55" s="1"/>
      <c r="J55" s="3"/>
      <c r="K55" s="4">
        <v>45967.04892361111</v>
      </c>
      <c r="L55" s="1" t="s">
        <v>1307</v>
      </c>
      <c r="M55" s="5">
        <v>54</v>
      </c>
      <c r="N55">
        <v>92</v>
      </c>
      <c r="O55" s="1" t="s">
        <v>1304</v>
      </c>
      <c r="P55" s="1" t="s">
        <v>1305</v>
      </c>
    </row>
    <row r="56" spans="1:16" ht="64">
      <c r="A56" s="1" t="s">
        <v>346</v>
      </c>
      <c r="B56" s="1" t="s">
        <v>347</v>
      </c>
      <c r="C56" s="2" t="s">
        <v>348</v>
      </c>
      <c r="D56" s="1" t="s">
        <v>349</v>
      </c>
      <c r="E56" s="2" t="s">
        <v>351</v>
      </c>
      <c r="F56" s="2" t="s">
        <v>352</v>
      </c>
      <c r="G56" s="1" t="s">
        <v>350</v>
      </c>
      <c r="H56" s="3">
        <v>46052</v>
      </c>
      <c r="I56" s="1" t="s">
        <v>353</v>
      </c>
      <c r="J56" s="3">
        <v>46171</v>
      </c>
      <c r="K56" s="4">
        <v>45988.520983796298</v>
      </c>
      <c r="L56" s="1" t="s">
        <v>1329</v>
      </c>
      <c r="M56" s="5">
        <v>55</v>
      </c>
      <c r="N56">
        <v>93</v>
      </c>
      <c r="O56" s="1" t="s">
        <v>1304</v>
      </c>
      <c r="P56" s="1" t="s">
        <v>1305</v>
      </c>
    </row>
    <row r="57" spans="1:16" ht="16">
      <c r="A57" s="1" t="s">
        <v>355</v>
      </c>
      <c r="B57" s="1" t="s">
        <v>356</v>
      </c>
      <c r="C57" s="2" t="s">
        <v>357</v>
      </c>
      <c r="D57" s="1" t="s">
        <v>1302</v>
      </c>
      <c r="E57" s="2"/>
      <c r="F57" s="2"/>
      <c r="G57" s="1"/>
      <c r="H57" s="3"/>
      <c r="I57" s="1"/>
      <c r="J57" s="3"/>
      <c r="K57" s="4">
        <v>45967.048958333333</v>
      </c>
      <c r="L57" s="1" t="s">
        <v>1307</v>
      </c>
      <c r="M57" s="5">
        <v>56</v>
      </c>
      <c r="N57">
        <v>1</v>
      </c>
      <c r="O57" s="1" t="s">
        <v>1304</v>
      </c>
      <c r="P57" s="1" t="s">
        <v>1305</v>
      </c>
    </row>
    <row r="58" spans="1:16" ht="32">
      <c r="A58" s="1" t="s">
        <v>359</v>
      </c>
      <c r="B58" s="1" t="s">
        <v>356</v>
      </c>
      <c r="C58" s="2" t="s">
        <v>360</v>
      </c>
      <c r="D58" s="1" t="s">
        <v>1302</v>
      </c>
      <c r="E58" s="2"/>
      <c r="F58" s="2"/>
      <c r="G58" s="1"/>
      <c r="H58" s="3"/>
      <c r="I58" s="1"/>
      <c r="J58" s="3"/>
      <c r="K58" s="4">
        <v>45967.048981481479</v>
      </c>
      <c r="L58" s="1" t="s">
        <v>1307</v>
      </c>
      <c r="M58" s="5">
        <v>57</v>
      </c>
      <c r="N58">
        <v>2</v>
      </c>
      <c r="O58" s="1" t="s">
        <v>1304</v>
      </c>
      <c r="P58" s="1" t="s">
        <v>1305</v>
      </c>
    </row>
    <row r="59" spans="1:16" ht="32">
      <c r="A59" s="1" t="s">
        <v>362</v>
      </c>
      <c r="B59" s="1" t="s">
        <v>356</v>
      </c>
      <c r="C59" s="2" t="s">
        <v>363</v>
      </c>
      <c r="D59" s="1" t="s">
        <v>1302</v>
      </c>
      <c r="E59" s="2"/>
      <c r="F59" s="2"/>
      <c r="G59" s="1"/>
      <c r="H59" s="3"/>
      <c r="I59" s="1"/>
      <c r="J59" s="3"/>
      <c r="K59" s="4">
        <v>45967.049004629633</v>
      </c>
      <c r="L59" s="1" t="s">
        <v>1307</v>
      </c>
      <c r="M59" s="5">
        <v>58</v>
      </c>
      <c r="N59">
        <v>3</v>
      </c>
      <c r="O59" s="1" t="s">
        <v>1304</v>
      </c>
      <c r="P59" s="1" t="s">
        <v>1305</v>
      </c>
    </row>
    <row r="60" spans="1:16" ht="32">
      <c r="A60" s="1" t="s">
        <v>365</v>
      </c>
      <c r="B60" s="1" t="s">
        <v>356</v>
      </c>
      <c r="C60" s="2" t="s">
        <v>366</v>
      </c>
      <c r="D60" s="1" t="s">
        <v>1302</v>
      </c>
      <c r="E60" s="2"/>
      <c r="F60" s="2"/>
      <c r="G60" s="1"/>
      <c r="H60" s="3"/>
      <c r="I60" s="1"/>
      <c r="J60" s="3"/>
      <c r="K60" s="4">
        <v>45967.049016203702</v>
      </c>
      <c r="L60" s="1" t="s">
        <v>1307</v>
      </c>
      <c r="M60" s="5">
        <v>59</v>
      </c>
      <c r="N60">
        <v>6</v>
      </c>
      <c r="O60" s="1" t="s">
        <v>1304</v>
      </c>
      <c r="P60" s="1" t="s">
        <v>1305</v>
      </c>
    </row>
    <row r="61" spans="1:16" ht="16">
      <c r="A61" s="1" t="s">
        <v>368</v>
      </c>
      <c r="B61" s="1" t="s">
        <v>356</v>
      </c>
      <c r="C61" s="2" t="s">
        <v>369</v>
      </c>
      <c r="D61" s="1" t="s">
        <v>1302</v>
      </c>
      <c r="E61" s="2"/>
      <c r="F61" s="2"/>
      <c r="G61" s="1"/>
      <c r="H61" s="3"/>
      <c r="I61" s="1"/>
      <c r="J61" s="3"/>
      <c r="K61" s="4">
        <v>45967.049050925925</v>
      </c>
      <c r="L61" s="1" t="s">
        <v>1307</v>
      </c>
      <c r="M61" s="5">
        <v>60</v>
      </c>
      <c r="N61">
        <v>7</v>
      </c>
      <c r="O61" s="1" t="s">
        <v>1304</v>
      </c>
      <c r="P61" s="1" t="s">
        <v>1305</v>
      </c>
    </row>
    <row r="62" spans="1:16" ht="32">
      <c r="A62" s="1" t="s">
        <v>371</v>
      </c>
      <c r="B62" s="1" t="s">
        <v>356</v>
      </c>
      <c r="C62" s="2" t="s">
        <v>372</v>
      </c>
      <c r="D62" s="1" t="s">
        <v>1302</v>
      </c>
      <c r="E62" s="2"/>
      <c r="F62" s="2"/>
      <c r="G62" s="1"/>
      <c r="H62" s="3"/>
      <c r="I62" s="1"/>
      <c r="J62" s="3"/>
      <c r="K62" s="4">
        <v>45967.049074074072</v>
      </c>
      <c r="L62" s="1" t="s">
        <v>1307</v>
      </c>
      <c r="M62" s="5">
        <v>61</v>
      </c>
      <c r="N62">
        <v>8</v>
      </c>
      <c r="O62" s="1" t="s">
        <v>1304</v>
      </c>
      <c r="P62" s="1" t="s">
        <v>1305</v>
      </c>
    </row>
    <row r="63" spans="1:16" ht="32">
      <c r="A63" s="1" t="s">
        <v>374</v>
      </c>
      <c r="B63" s="1" t="s">
        <v>356</v>
      </c>
      <c r="C63" s="2" t="s">
        <v>375</v>
      </c>
      <c r="D63" s="1" t="s">
        <v>1302</v>
      </c>
      <c r="E63" s="2"/>
      <c r="F63" s="2"/>
      <c r="G63" s="1"/>
      <c r="H63" s="3"/>
      <c r="I63" s="1"/>
      <c r="J63" s="3"/>
      <c r="K63" s="4">
        <v>45967.049085648148</v>
      </c>
      <c r="L63" s="1" t="s">
        <v>1307</v>
      </c>
      <c r="M63" s="5">
        <v>62</v>
      </c>
      <c r="N63">
        <v>9</v>
      </c>
      <c r="O63" s="1" t="s">
        <v>1304</v>
      </c>
      <c r="P63" s="1" t="s">
        <v>1305</v>
      </c>
    </row>
    <row r="64" spans="1:16" ht="32">
      <c r="A64" s="1" t="s">
        <v>377</v>
      </c>
      <c r="B64" s="1" t="s">
        <v>356</v>
      </c>
      <c r="C64" s="2" t="s">
        <v>378</v>
      </c>
      <c r="D64" s="1" t="s">
        <v>1302</v>
      </c>
      <c r="E64" s="2"/>
      <c r="F64" s="2"/>
      <c r="G64" s="1"/>
      <c r="H64" s="3"/>
      <c r="I64" s="1"/>
      <c r="J64" s="3"/>
      <c r="K64" s="4">
        <v>45967.049108796295</v>
      </c>
      <c r="L64" s="1" t="s">
        <v>1307</v>
      </c>
      <c r="M64" s="5">
        <v>63</v>
      </c>
      <c r="N64">
        <v>10</v>
      </c>
      <c r="O64" s="1" t="s">
        <v>1304</v>
      </c>
      <c r="P64" s="1" t="s">
        <v>1305</v>
      </c>
    </row>
    <row r="65" spans="1:16" ht="32">
      <c r="A65" s="1" t="s">
        <v>380</v>
      </c>
      <c r="B65" s="1" t="s">
        <v>356</v>
      </c>
      <c r="C65" s="2" t="s">
        <v>381</v>
      </c>
      <c r="D65" s="1" t="s">
        <v>1302</v>
      </c>
      <c r="E65" s="2"/>
      <c r="F65" s="2"/>
      <c r="G65" s="1"/>
      <c r="H65" s="3"/>
      <c r="I65" s="1"/>
      <c r="J65" s="3"/>
      <c r="K65" s="4">
        <v>45967.049155092594</v>
      </c>
      <c r="L65" s="1" t="s">
        <v>1307</v>
      </c>
      <c r="M65" s="5">
        <v>64</v>
      </c>
      <c r="N65">
        <v>11</v>
      </c>
      <c r="O65" s="1" t="s">
        <v>1304</v>
      </c>
      <c r="P65" s="1" t="s">
        <v>1305</v>
      </c>
    </row>
    <row r="66" spans="1:16" ht="16">
      <c r="A66" s="1" t="s">
        <v>383</v>
      </c>
      <c r="B66" s="1" t="s">
        <v>356</v>
      </c>
      <c r="C66" s="2" t="s">
        <v>384</v>
      </c>
      <c r="D66" s="1" t="s">
        <v>1302</v>
      </c>
      <c r="E66" s="2"/>
      <c r="F66" s="2"/>
      <c r="G66" s="1"/>
      <c r="H66" s="3"/>
      <c r="I66" s="1"/>
      <c r="J66" s="3"/>
      <c r="K66" s="4">
        <v>45967.049166666664</v>
      </c>
      <c r="L66" s="1" t="s">
        <v>1307</v>
      </c>
      <c r="M66" s="5">
        <v>65</v>
      </c>
      <c r="N66">
        <v>49</v>
      </c>
      <c r="O66" s="1" t="s">
        <v>1304</v>
      </c>
      <c r="P66" s="1" t="s">
        <v>1305</v>
      </c>
    </row>
    <row r="67" spans="1:16" ht="32">
      <c r="A67" s="1" t="s">
        <v>386</v>
      </c>
      <c r="B67" s="1" t="s">
        <v>356</v>
      </c>
      <c r="C67" s="2" t="s">
        <v>387</v>
      </c>
      <c r="D67" s="1" t="s">
        <v>1302</v>
      </c>
      <c r="E67" s="2"/>
      <c r="F67" s="2"/>
      <c r="G67" s="1"/>
      <c r="H67" s="3"/>
      <c r="I67" s="1"/>
      <c r="J67" s="3"/>
      <c r="K67" s="4">
        <v>45967.049189814818</v>
      </c>
      <c r="L67" s="1" t="s">
        <v>1307</v>
      </c>
      <c r="M67" s="5">
        <v>66</v>
      </c>
      <c r="N67">
        <v>52</v>
      </c>
      <c r="O67" s="1" t="s">
        <v>1304</v>
      </c>
      <c r="P67" s="1" t="s">
        <v>1305</v>
      </c>
    </row>
    <row r="68" spans="1:16" ht="48">
      <c r="A68" s="1" t="s">
        <v>389</v>
      </c>
      <c r="B68" s="1" t="s">
        <v>356</v>
      </c>
      <c r="C68" s="2" t="s">
        <v>390</v>
      </c>
      <c r="D68" s="1" t="s">
        <v>1302</v>
      </c>
      <c r="E68" s="2"/>
      <c r="F68" s="2"/>
      <c r="G68" s="1"/>
      <c r="H68" s="3"/>
      <c r="I68" s="1"/>
      <c r="J68" s="3"/>
      <c r="K68" s="4">
        <v>45967.049201388887</v>
      </c>
      <c r="L68" s="1" t="s">
        <v>1307</v>
      </c>
      <c r="M68" s="5">
        <v>67</v>
      </c>
      <c r="N68">
        <v>55</v>
      </c>
      <c r="O68" s="1" t="s">
        <v>1304</v>
      </c>
      <c r="P68" s="1" t="s">
        <v>1305</v>
      </c>
    </row>
    <row r="69" spans="1:16" ht="32">
      <c r="A69" s="1" t="s">
        <v>392</v>
      </c>
      <c r="B69" s="1" t="s">
        <v>356</v>
      </c>
      <c r="C69" s="2" t="s">
        <v>393</v>
      </c>
      <c r="D69" s="1" t="s">
        <v>1302</v>
      </c>
      <c r="E69" s="2"/>
      <c r="F69" s="2"/>
      <c r="G69" s="1"/>
      <c r="H69" s="3"/>
      <c r="I69" s="1"/>
      <c r="J69" s="3"/>
      <c r="K69" s="4">
        <v>45967.049224537041</v>
      </c>
      <c r="L69" s="1" t="s">
        <v>1307</v>
      </c>
      <c r="M69" s="5">
        <v>68</v>
      </c>
      <c r="N69">
        <v>58</v>
      </c>
      <c r="O69" s="1" t="s">
        <v>1304</v>
      </c>
      <c r="P69" s="1" t="s">
        <v>1305</v>
      </c>
    </row>
    <row r="70" spans="1:16" ht="16">
      <c r="A70" s="1" t="s">
        <v>395</v>
      </c>
      <c r="B70" s="1" t="s">
        <v>396</v>
      </c>
      <c r="C70" s="2" t="s">
        <v>397</v>
      </c>
      <c r="D70" s="1" t="s">
        <v>398</v>
      </c>
      <c r="E70" s="2"/>
      <c r="F70" s="2"/>
      <c r="G70" s="1"/>
      <c r="H70" s="3"/>
      <c r="I70" s="1"/>
      <c r="J70" s="3"/>
      <c r="K70" s="4">
        <v>45967.049259259256</v>
      </c>
      <c r="L70" s="1" t="s">
        <v>1307</v>
      </c>
      <c r="M70" s="5">
        <v>69</v>
      </c>
      <c r="N70">
        <v>5</v>
      </c>
      <c r="O70" s="1" t="s">
        <v>1304</v>
      </c>
      <c r="P70" s="1" t="s">
        <v>1305</v>
      </c>
    </row>
    <row r="71" spans="1:16" ht="16">
      <c r="A71" s="1" t="s">
        <v>400</v>
      </c>
      <c r="B71" s="1" t="s">
        <v>396</v>
      </c>
      <c r="C71" s="2" t="s">
        <v>401</v>
      </c>
      <c r="D71" s="1" t="s">
        <v>398</v>
      </c>
      <c r="E71" s="2"/>
      <c r="F71" s="2"/>
      <c r="G71" s="1"/>
      <c r="H71" s="3"/>
      <c r="I71" s="1"/>
      <c r="J71" s="3"/>
      <c r="K71" s="4">
        <v>45967.049270833333</v>
      </c>
      <c r="L71" s="1" t="s">
        <v>1307</v>
      </c>
      <c r="M71" s="5">
        <v>70</v>
      </c>
      <c r="N71">
        <v>53</v>
      </c>
      <c r="O71" s="1" t="s">
        <v>1304</v>
      </c>
      <c r="P71" s="1" t="s">
        <v>1305</v>
      </c>
    </row>
    <row r="72" spans="1:16" ht="32">
      <c r="A72" s="1" t="s">
        <v>403</v>
      </c>
      <c r="B72" s="1" t="s">
        <v>404</v>
      </c>
      <c r="C72" s="2" t="s">
        <v>405</v>
      </c>
      <c r="D72" s="1" t="s">
        <v>1331</v>
      </c>
      <c r="E72" s="2" t="s">
        <v>408</v>
      </c>
      <c r="F72" s="2" t="s">
        <v>409</v>
      </c>
      <c r="G72" s="1" t="s">
        <v>407</v>
      </c>
      <c r="H72" s="3">
        <v>46142</v>
      </c>
      <c r="I72" s="1" t="s">
        <v>410</v>
      </c>
      <c r="J72" s="3">
        <v>46234</v>
      </c>
      <c r="K72" s="4">
        <v>45992.716435185182</v>
      </c>
      <c r="L72" s="1" t="s">
        <v>1332</v>
      </c>
      <c r="M72" s="5">
        <v>71</v>
      </c>
      <c r="N72">
        <v>4</v>
      </c>
      <c r="O72" s="1" t="s">
        <v>1304</v>
      </c>
      <c r="P72" s="1" t="s">
        <v>1305</v>
      </c>
    </row>
    <row r="73" spans="1:16" ht="48">
      <c r="A73" s="1" t="s">
        <v>412</v>
      </c>
      <c r="B73" s="1" t="s">
        <v>404</v>
      </c>
      <c r="C73" s="2" t="s">
        <v>413</v>
      </c>
      <c r="D73" s="1" t="s">
        <v>1331</v>
      </c>
      <c r="E73" s="2" t="s">
        <v>415</v>
      </c>
      <c r="F73" s="2" t="s">
        <v>416</v>
      </c>
      <c r="G73" s="1" t="s">
        <v>414</v>
      </c>
      <c r="H73" s="3"/>
      <c r="I73" s="1" t="s">
        <v>417</v>
      </c>
      <c r="J73" s="3"/>
      <c r="K73" s="4">
        <v>45987.965474537035</v>
      </c>
      <c r="L73" s="1" t="s">
        <v>1333</v>
      </c>
      <c r="M73" s="5">
        <v>72</v>
      </c>
      <c r="N73">
        <v>12</v>
      </c>
      <c r="O73" s="1" t="s">
        <v>1304</v>
      </c>
      <c r="P73" s="1" t="s">
        <v>1305</v>
      </c>
    </row>
    <row r="74" spans="1:16" ht="112">
      <c r="A74" s="1" t="s">
        <v>419</v>
      </c>
      <c r="B74" s="1" t="s">
        <v>404</v>
      </c>
      <c r="C74" s="2" t="s">
        <v>420</v>
      </c>
      <c r="D74" s="1" t="s">
        <v>1331</v>
      </c>
      <c r="E74" s="2" t="s">
        <v>415</v>
      </c>
      <c r="F74" s="2" t="s">
        <v>422</v>
      </c>
      <c r="G74" s="1" t="s">
        <v>421</v>
      </c>
      <c r="H74" s="3"/>
      <c r="I74" s="1" t="s">
        <v>423</v>
      </c>
      <c r="J74" s="3"/>
      <c r="K74" s="4">
        <v>45991.100543981483</v>
      </c>
      <c r="L74" s="1" t="s">
        <v>1333</v>
      </c>
      <c r="M74" s="5">
        <v>73</v>
      </c>
      <c r="N74">
        <v>13</v>
      </c>
      <c r="O74" s="1" t="s">
        <v>1304</v>
      </c>
      <c r="P74" s="1" t="s">
        <v>1305</v>
      </c>
    </row>
    <row r="75" spans="1:16" ht="48">
      <c r="A75" s="1" t="s">
        <v>425</v>
      </c>
      <c r="B75" s="1" t="s">
        <v>426</v>
      </c>
      <c r="C75" s="2" t="s">
        <v>427</v>
      </c>
      <c r="D75" s="1" t="s">
        <v>1334</v>
      </c>
      <c r="E75" s="2" t="s">
        <v>430</v>
      </c>
      <c r="F75" s="2" t="s">
        <v>431</v>
      </c>
      <c r="G75" s="1" t="s">
        <v>429</v>
      </c>
      <c r="H75" s="3">
        <v>46009</v>
      </c>
      <c r="I75" s="1" t="s">
        <v>432</v>
      </c>
      <c r="J75" s="3">
        <v>46366</v>
      </c>
      <c r="K75" s="4">
        <v>45988.650659722225</v>
      </c>
      <c r="L75" s="1" t="s">
        <v>1335</v>
      </c>
      <c r="M75" s="5">
        <v>74</v>
      </c>
      <c r="N75">
        <v>29</v>
      </c>
      <c r="O75" s="1" t="s">
        <v>1304</v>
      </c>
      <c r="P75" s="1" t="s">
        <v>1305</v>
      </c>
    </row>
    <row r="76" spans="1:16" ht="16">
      <c r="A76" s="1" t="s">
        <v>434</v>
      </c>
      <c r="B76" s="1" t="s">
        <v>435</v>
      </c>
      <c r="C76" s="2" t="s">
        <v>436</v>
      </c>
      <c r="D76" s="1" t="s">
        <v>437</v>
      </c>
      <c r="E76" s="2"/>
      <c r="F76" s="2"/>
      <c r="G76" s="1"/>
      <c r="H76" s="3"/>
      <c r="I76" s="1"/>
      <c r="J76" s="3"/>
      <c r="K76" s="4">
        <v>45987.682789351849</v>
      </c>
      <c r="L76" s="1" t="s">
        <v>1332</v>
      </c>
      <c r="M76" s="5">
        <v>75</v>
      </c>
      <c r="N76">
        <v>32</v>
      </c>
      <c r="O76" s="1" t="s">
        <v>1304</v>
      </c>
      <c r="P76" s="1" t="s">
        <v>1305</v>
      </c>
    </row>
    <row r="77" spans="1:16" ht="112">
      <c r="A77" s="1" t="s">
        <v>440</v>
      </c>
      <c r="B77" s="1" t="s">
        <v>441</v>
      </c>
      <c r="C77" s="2" t="s">
        <v>442</v>
      </c>
      <c r="D77" s="1" t="s">
        <v>1336</v>
      </c>
      <c r="E77" s="2" t="s">
        <v>445</v>
      </c>
      <c r="F77" s="2" t="s">
        <v>446</v>
      </c>
      <c r="G77" s="1" t="s">
        <v>444</v>
      </c>
      <c r="H77" s="3">
        <v>46053</v>
      </c>
      <c r="I77" s="1" t="s">
        <v>447</v>
      </c>
      <c r="J77" s="3"/>
      <c r="K77" s="4">
        <v>45992.716886574075</v>
      </c>
      <c r="L77" s="1" t="s">
        <v>1337</v>
      </c>
      <c r="M77" s="5">
        <v>76</v>
      </c>
      <c r="N77">
        <v>35</v>
      </c>
      <c r="O77" s="1" t="s">
        <v>1304</v>
      </c>
      <c r="P77" s="1" t="s">
        <v>1305</v>
      </c>
    </row>
    <row r="78" spans="1:16" ht="32">
      <c r="A78" s="1" t="s">
        <v>449</v>
      </c>
      <c r="B78" s="1" t="s">
        <v>450</v>
      </c>
      <c r="C78" s="2" t="s">
        <v>451</v>
      </c>
      <c r="D78" s="1" t="s">
        <v>1338</v>
      </c>
      <c r="E78" s="2"/>
      <c r="F78" s="2"/>
      <c r="G78" s="1"/>
      <c r="H78" s="3"/>
      <c r="I78" s="1"/>
      <c r="J78" s="3"/>
      <c r="K78" s="4">
        <v>45967.049432870372</v>
      </c>
      <c r="L78" s="1" t="s">
        <v>1307</v>
      </c>
      <c r="M78" s="5">
        <v>77</v>
      </c>
      <c r="N78">
        <v>30</v>
      </c>
      <c r="O78" s="1" t="s">
        <v>1304</v>
      </c>
      <c r="P78" s="1" t="s">
        <v>1305</v>
      </c>
    </row>
    <row r="79" spans="1:16" ht="16">
      <c r="A79" s="1" t="s">
        <v>454</v>
      </c>
      <c r="B79" s="1" t="s">
        <v>450</v>
      </c>
      <c r="C79" s="2" t="s">
        <v>455</v>
      </c>
      <c r="D79" s="1" t="s">
        <v>1338</v>
      </c>
      <c r="E79" s="2"/>
      <c r="F79" s="2"/>
      <c r="G79" s="1"/>
      <c r="H79" s="3"/>
      <c r="I79" s="1"/>
      <c r="J79" s="3"/>
      <c r="K79" s="4">
        <v>45967.049456018518</v>
      </c>
      <c r="L79" s="1" t="s">
        <v>1307</v>
      </c>
      <c r="M79" s="5">
        <v>78</v>
      </c>
      <c r="N79">
        <v>31</v>
      </c>
      <c r="O79" s="1" t="s">
        <v>1304</v>
      </c>
      <c r="P79" s="1" t="s">
        <v>1305</v>
      </c>
    </row>
    <row r="80" spans="1:16" ht="32">
      <c r="A80" s="1" t="s">
        <v>457</v>
      </c>
      <c r="B80" s="1" t="s">
        <v>450</v>
      </c>
      <c r="C80" s="2" t="s">
        <v>458</v>
      </c>
      <c r="D80" s="1" t="s">
        <v>1338</v>
      </c>
      <c r="E80" s="2"/>
      <c r="F80" s="2"/>
      <c r="G80" s="1"/>
      <c r="H80" s="3"/>
      <c r="I80" s="1"/>
      <c r="J80" s="3"/>
      <c r="K80" s="4">
        <v>45967.049479166664</v>
      </c>
      <c r="L80" s="1" t="s">
        <v>1307</v>
      </c>
      <c r="M80" s="5">
        <v>79</v>
      </c>
      <c r="N80">
        <v>38</v>
      </c>
      <c r="O80" s="1" t="s">
        <v>1304</v>
      </c>
      <c r="P80" s="1" t="s">
        <v>1305</v>
      </c>
    </row>
    <row r="81" spans="1:16" ht="32">
      <c r="A81" s="1" t="s">
        <v>460</v>
      </c>
      <c r="B81" s="1" t="s">
        <v>461</v>
      </c>
      <c r="C81" s="2" t="s">
        <v>462</v>
      </c>
      <c r="D81" s="1" t="s">
        <v>35</v>
      </c>
      <c r="E81" s="2"/>
      <c r="F81" s="2"/>
      <c r="G81" s="1"/>
      <c r="H81" s="3"/>
      <c r="I81" s="1"/>
      <c r="J81" s="3"/>
      <c r="K81" s="4">
        <v>45967.049490740741</v>
      </c>
      <c r="L81" s="1" t="s">
        <v>1307</v>
      </c>
      <c r="M81" s="5">
        <v>80</v>
      </c>
      <c r="N81">
        <v>79</v>
      </c>
      <c r="O81" s="1" t="s">
        <v>1304</v>
      </c>
      <c r="P81" s="1" t="s">
        <v>1305</v>
      </c>
    </row>
    <row r="82" spans="1:16" ht="16">
      <c r="A82" s="1" t="s">
        <v>464</v>
      </c>
      <c r="B82" s="1" t="s">
        <v>461</v>
      </c>
      <c r="C82" s="2" t="s">
        <v>465</v>
      </c>
      <c r="D82" s="1" t="s">
        <v>35</v>
      </c>
      <c r="E82" s="2"/>
      <c r="F82" s="2"/>
      <c r="G82" s="1"/>
      <c r="H82" s="3"/>
      <c r="I82" s="1"/>
      <c r="J82" s="3"/>
      <c r="K82" s="4">
        <v>45967.049513888887</v>
      </c>
      <c r="L82" s="1" t="s">
        <v>1307</v>
      </c>
      <c r="M82" s="5">
        <v>81</v>
      </c>
      <c r="N82">
        <v>82</v>
      </c>
      <c r="O82" s="1" t="s">
        <v>1304</v>
      </c>
      <c r="P82" s="1" t="s">
        <v>1305</v>
      </c>
    </row>
    <row r="83" spans="1:16" ht="16">
      <c r="A83" s="1" t="s">
        <v>467</v>
      </c>
      <c r="B83" s="1" t="s">
        <v>468</v>
      </c>
      <c r="C83" s="2" t="s">
        <v>469</v>
      </c>
      <c r="D83" s="1" t="s">
        <v>338</v>
      </c>
      <c r="E83" s="2"/>
      <c r="F83" s="2"/>
      <c r="G83" s="1"/>
      <c r="H83" s="3"/>
      <c r="I83" s="1"/>
      <c r="J83" s="3"/>
      <c r="K83" s="4">
        <v>45973.710370370369</v>
      </c>
      <c r="L83" s="1" t="s">
        <v>1307</v>
      </c>
      <c r="M83" s="5">
        <v>82</v>
      </c>
      <c r="N83">
        <v>84</v>
      </c>
      <c r="O83" s="1" t="s">
        <v>1304</v>
      </c>
      <c r="P83" s="1" t="s">
        <v>1305</v>
      </c>
    </row>
    <row r="84" spans="1:16" ht="32">
      <c r="A84" s="1" t="s">
        <v>471</v>
      </c>
      <c r="B84" s="1" t="s">
        <v>468</v>
      </c>
      <c r="C84" s="2" t="s">
        <v>472</v>
      </c>
      <c r="D84" s="1" t="s">
        <v>338</v>
      </c>
      <c r="E84" s="2"/>
      <c r="F84" s="2"/>
      <c r="G84" s="1"/>
      <c r="H84" s="3"/>
      <c r="I84" s="1"/>
      <c r="J84" s="3"/>
      <c r="K84" s="4">
        <v>45967.049560185187</v>
      </c>
      <c r="L84" s="1" t="s">
        <v>1307</v>
      </c>
      <c r="M84" s="5">
        <v>83</v>
      </c>
      <c r="N84">
        <v>85</v>
      </c>
      <c r="O84" s="1" t="s">
        <v>1304</v>
      </c>
      <c r="P84" s="1" t="s">
        <v>1305</v>
      </c>
    </row>
    <row r="85" spans="1:16" ht="32">
      <c r="A85" s="1" t="s">
        <v>474</v>
      </c>
      <c r="B85" s="1" t="s">
        <v>468</v>
      </c>
      <c r="C85" s="2" t="s">
        <v>475</v>
      </c>
      <c r="D85" s="1" t="s">
        <v>338</v>
      </c>
      <c r="E85" s="2"/>
      <c r="F85" s="2"/>
      <c r="G85" s="1"/>
      <c r="H85" s="3"/>
      <c r="I85" s="1"/>
      <c r="J85" s="3"/>
      <c r="K85" s="4">
        <v>45967.04959490741</v>
      </c>
      <c r="L85" s="1" t="s">
        <v>1307</v>
      </c>
      <c r="M85" s="5">
        <v>84</v>
      </c>
      <c r="N85">
        <v>86</v>
      </c>
      <c r="O85" s="1" t="s">
        <v>1304</v>
      </c>
      <c r="P85" s="1" t="s">
        <v>1305</v>
      </c>
    </row>
    <row r="86" spans="1:16" ht="16">
      <c r="A86" s="1" t="s">
        <v>477</v>
      </c>
      <c r="B86" s="1" t="s">
        <v>468</v>
      </c>
      <c r="C86" s="2" t="s">
        <v>478</v>
      </c>
      <c r="D86" s="1" t="s">
        <v>338</v>
      </c>
      <c r="E86" s="2"/>
      <c r="F86" s="2"/>
      <c r="G86" s="1"/>
      <c r="H86" s="3"/>
      <c r="I86" s="1"/>
      <c r="J86" s="3"/>
      <c r="K86" s="4">
        <v>45967.049629629626</v>
      </c>
      <c r="L86" s="1" t="s">
        <v>1307</v>
      </c>
      <c r="M86" s="5">
        <v>85</v>
      </c>
      <c r="N86">
        <v>87</v>
      </c>
      <c r="O86" s="1" t="s">
        <v>1304</v>
      </c>
      <c r="P86" s="1" t="s">
        <v>1305</v>
      </c>
    </row>
    <row r="87" spans="1:16" ht="32">
      <c r="A87" s="1" t="s">
        <v>480</v>
      </c>
      <c r="B87" s="1" t="s">
        <v>481</v>
      </c>
      <c r="C87" s="2" t="s">
        <v>482</v>
      </c>
      <c r="D87" s="1" t="s">
        <v>1339</v>
      </c>
      <c r="E87" s="2" t="s">
        <v>485</v>
      </c>
      <c r="F87" s="2" t="s">
        <v>486</v>
      </c>
      <c r="G87" s="1" t="s">
        <v>484</v>
      </c>
      <c r="H87" s="3">
        <v>46053</v>
      </c>
      <c r="I87" s="1" t="s">
        <v>487</v>
      </c>
      <c r="J87" s="3">
        <v>46234</v>
      </c>
      <c r="K87" s="4">
        <v>45990.758437500001</v>
      </c>
      <c r="L87" s="1" t="s">
        <v>1340</v>
      </c>
      <c r="M87" s="5">
        <v>86</v>
      </c>
      <c r="N87">
        <v>98</v>
      </c>
      <c r="O87" s="1" t="s">
        <v>1304</v>
      </c>
      <c r="P87" s="1" t="s">
        <v>1305</v>
      </c>
    </row>
    <row r="88" spans="1:16" ht="32">
      <c r="A88" s="1" t="s">
        <v>489</v>
      </c>
      <c r="B88" s="1" t="s">
        <v>481</v>
      </c>
      <c r="C88" s="2" t="s">
        <v>490</v>
      </c>
      <c r="D88" s="1" t="s">
        <v>1339</v>
      </c>
      <c r="E88" s="2"/>
      <c r="F88" s="2"/>
      <c r="G88" s="1"/>
      <c r="H88" s="3"/>
      <c r="I88" s="1"/>
      <c r="J88" s="3"/>
      <c r="K88" s="4">
        <v>45967.049687500003</v>
      </c>
      <c r="L88" s="1" t="s">
        <v>1307</v>
      </c>
      <c r="M88" s="5">
        <v>87</v>
      </c>
      <c r="N88">
        <v>99</v>
      </c>
      <c r="O88" s="1" t="s">
        <v>1304</v>
      </c>
      <c r="P88" s="1" t="s">
        <v>1305</v>
      </c>
    </row>
    <row r="89" spans="1:16">
      <c r="A89" s="1"/>
      <c r="B89" s="1"/>
      <c r="C89" s="2"/>
      <c r="D89" s="1"/>
      <c r="E89" s="2"/>
      <c r="F89" s="2"/>
      <c r="G89" s="1"/>
      <c r="H89" s="3"/>
      <c r="I89" s="1"/>
      <c r="J89" s="3"/>
      <c r="K89" s="4">
        <v>45989.763136574074</v>
      </c>
      <c r="L89" s="1" t="s">
        <v>1317</v>
      </c>
      <c r="M89" s="5">
        <v>88</v>
      </c>
      <c r="O89" s="1" t="s">
        <v>1304</v>
      </c>
      <c r="P89" s="1" t="s">
        <v>1305</v>
      </c>
    </row>
    <row r="90" spans="1:16">
      <c r="A90" s="1"/>
      <c r="B90" s="1"/>
      <c r="C90" s="2"/>
      <c r="D90" s="1"/>
      <c r="E90" s="2"/>
      <c r="F90" s="2"/>
      <c r="G90" s="1"/>
      <c r="H90" s="3"/>
      <c r="I90" s="1"/>
      <c r="J90" s="3"/>
      <c r="K90" s="4">
        <v>45989.765381944446</v>
      </c>
      <c r="L90" s="1" t="s">
        <v>1317</v>
      </c>
      <c r="M90" s="5">
        <v>89</v>
      </c>
      <c r="O90" s="1" t="s">
        <v>1304</v>
      </c>
      <c r="P90" s="1" t="s">
        <v>1305</v>
      </c>
    </row>
    <row r="91" spans="1:16">
      <c r="A91" s="1"/>
      <c r="B91" s="1"/>
      <c r="C91" s="2"/>
      <c r="D91" s="1"/>
      <c r="E91" s="2"/>
      <c r="F91" s="2"/>
      <c r="G91" s="1"/>
      <c r="H91" s="3"/>
      <c r="I91" s="1"/>
      <c r="J91" s="3"/>
      <c r="K91" s="4">
        <v>45989.770289351851</v>
      </c>
      <c r="L91" s="1" t="s">
        <v>1317</v>
      </c>
      <c r="M91" s="5">
        <v>90</v>
      </c>
      <c r="O91" s="1" t="s">
        <v>1304</v>
      </c>
      <c r="P91" s="1" t="s">
        <v>1305</v>
      </c>
    </row>
    <row r="92" spans="1:16">
      <c r="A92" s="1"/>
      <c r="B92" s="1"/>
      <c r="C92" s="2"/>
      <c r="D92" s="1"/>
      <c r="E92" s="2"/>
      <c r="F92" s="2"/>
      <c r="G92" s="1"/>
      <c r="H92" s="3"/>
      <c r="I92" s="1"/>
      <c r="J92" s="3"/>
      <c r="K92" s="4">
        <v>45990.118680555555</v>
      </c>
      <c r="L92" s="1" t="s">
        <v>1311</v>
      </c>
      <c r="M92" s="5">
        <v>91</v>
      </c>
      <c r="O92" s="1" t="s">
        <v>1304</v>
      </c>
      <c r="P92" s="1" t="s">
        <v>1305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criptIds xmlns="http://schemas.microsoft.com/office/extensibility/maker/v1.0" id="script-ids-node-id">
  <scriptId id="ms-officescript%3A%2F%2Fonedrive_business_itemlink%2F017KFLDC4A6ZA4WERLUNGYDZIXW35HRGJC:ms-officescript%3A%2F%2Fonedrive_business_sharinglink%2Fu!aHR0cHM6Ly91bml0ZWRuYXRpb25zLW15LnNoYXJlcG9pbnQuY29tLzp1Oi9nL3BlcnNvbmFsL3F1ZW5kdF9uaWtsYXNfdW5fb3JnL0lRQ0E5a0hMRWl1alRZSGxGN2I2ZUpraUFaQVlnV2tyU2hLNjJYdlk3dng0a2Jn"/>
</scriptId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0597FD5945686442B796FB095B956EA8" ma:contentTypeVersion="10" ma:contentTypeDescription="Create a new document." ma:contentTypeScope="" ma:versionID="0323a8867fae5b0de607eab807e8eebd">
  <xsd:schema xmlns:xsd="http://www.w3.org/2001/XMLSchema" xmlns:xs="http://www.w3.org/2001/XMLSchema" xmlns:p="http://schemas.microsoft.com/office/2006/metadata/properties" xmlns:ns2="d7617dc8-99df-4cdb-98db-df3346b83bc4" xmlns:ns3="02fb825f-7ed1-4573-903f-05f8f32e2147" targetNamespace="http://schemas.microsoft.com/office/2006/metadata/properties" ma:root="true" ma:fieldsID="4c417f503e2384fb97a2d309c78858f9" ns2:_="" ns3:_="">
    <xsd:import namespace="d7617dc8-99df-4cdb-98db-df3346b83bc4"/>
    <xsd:import namespace="02fb825f-7ed1-4573-903f-05f8f32e21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617dc8-99df-4cdb-98db-df3346b83b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2fb825f-7ed1-4573-903f-05f8f32e214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3507bf0-e337-448c-a54c-3ce9eae9648e}" ma:internalName="TaxCatchAll" ma:showField="CatchAllData" ma:web="02fb825f-7ed1-4573-903f-05f8f32e21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d7617dc8-99df-4cdb-98db-df3346b83bc4">
      <Terms xmlns="http://schemas.microsoft.com/office/infopath/2007/PartnerControls"/>
    </lcf76f155ced4ddcb4097134ff3c332f>
    <TaxCatchAll xmlns="02fb825f-7ed1-4573-903f-05f8f32e2147" xsi:nil="true"/>
  </documentManagement>
</p:properties>
</file>

<file path=customXml/itemProps1.xml><?xml version="1.0" encoding="utf-8"?>
<ds:datastoreItem xmlns:ds="http://schemas.openxmlformats.org/officeDocument/2006/customXml" ds:itemID="{01CB4959-90A7-5647-B217-6DA8CDDAB71D}">
  <ds:schemaRefs>
    <ds:schemaRef ds:uri="http://schemas.microsoft.com/office/extensibility/maker/v1.0"/>
  </ds:schemaRefs>
</ds:datastoreItem>
</file>

<file path=customXml/itemProps2.xml><?xml version="1.0" encoding="utf-8"?>
<ds:datastoreItem xmlns:ds="http://schemas.openxmlformats.org/officeDocument/2006/customXml" ds:itemID="{2CAD81EF-C374-465A-920A-C5A04A5535D3}">
  <ds:schemaRefs>
    <ds:schemaRef ds:uri="http://schemas.microsoft.com/DataMashup"/>
  </ds:schemaRefs>
</ds:datastoreItem>
</file>

<file path=customXml/itemProps3.xml><?xml version="1.0" encoding="utf-8"?>
<ds:datastoreItem xmlns:ds="http://schemas.openxmlformats.org/officeDocument/2006/customXml" ds:itemID="{A8E56BE5-17FD-4138-B0E6-EAEDC4E709C8}">
  <ds:schemaRefs>
    <ds:schemaRef ds:uri="http://schemas.microsoft.com/sharepoint/v3/contenttype/forms"/>
  </ds:schemaRefs>
</ds:datastoreItem>
</file>

<file path=customXml/itemProps4.xml><?xml version="1.0" encoding="utf-8"?>
<ds:datastoreItem xmlns:ds="http://schemas.openxmlformats.org/officeDocument/2006/customXml" ds:itemID="{80CB75FE-F0F9-4F99-AFF4-264F2DFBD3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617dc8-99df-4cdb-98db-df3346b83bc4"/>
    <ds:schemaRef ds:uri="02fb825f-7ed1-4573-903f-05f8f32e21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07F44F67-F1ED-4BEE-B29D-0888ECF3BB9F}">
  <ds:schemaRefs>
    <ds:schemaRef ds:uri="http://purl.org/dc/elements/1.1/"/>
    <ds:schemaRef ds:uri="d7617dc8-99df-4cdb-98db-df3346b83bc4"/>
    <ds:schemaRef ds:uri="http://schemas.microsoft.com/office/2006/metadata/properties"/>
    <ds:schemaRef ds:uri="http://schemas.microsoft.com/office/2006/documentManagement/types"/>
    <ds:schemaRef ds:uri="http://purl.org/dc/dcmitype/"/>
    <ds:schemaRef ds:uri="http://schemas.openxmlformats.org/package/2006/metadata/core-properties"/>
    <ds:schemaRef ds:uri="http://www.w3.org/XML/1998/namespace"/>
    <ds:schemaRef ds:uri="http://schemas.microsoft.com/office/infopath/2007/PartnerControls"/>
    <ds:schemaRef ds:uri="02fb825f-7ed1-4573-903f-05f8f32e2147"/>
    <ds:schemaRef ds:uri="http://purl.org/dc/terms/"/>
  </ds:schemaRefs>
</ds:datastoreItem>
</file>

<file path=docMetadata/LabelInfo.xml><?xml version="1.0" encoding="utf-8"?>
<clbl:labelList xmlns:clbl="http://schemas.microsoft.com/office/2020/mipLabelMetadata">
  <clbl:label id="{7eb58d0f-f804-411f-a20e-09ebfae62b4c}"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Focal Point Tracking</vt:lpstr>
      <vt:lpstr>UN80 Action Plan (2)</vt:lpstr>
      <vt:lpstr>UN80 Action Plan</vt:lpstr>
      <vt:lpstr>Sheet2</vt:lpstr>
      <vt:lpstr>Action Tracking</vt:lpstr>
      <vt:lpstr>Sheet1</vt:lpstr>
      <vt:lpstr>SC TF Extended</vt:lpstr>
      <vt:lpstr>Working sheet &gt;&gt;&gt;</vt:lpstr>
      <vt:lpstr>Overview Filter</vt:lpstr>
      <vt:lpstr>query (9)</vt:lpstr>
      <vt:lpstr>Sheet1!Print_Titles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Putu Ustriyana</dc:creator>
  <cp:keywords/>
  <dc:description/>
  <cp:lastModifiedBy>Niklas Quendt</cp:lastModifiedBy>
  <cp:revision/>
  <dcterms:created xsi:type="dcterms:W3CDTF">2025-12-01T15:58:59Z</dcterms:created>
  <dcterms:modified xsi:type="dcterms:W3CDTF">2026-02-09T23:44:13Z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0x0101000597FD5945686442B796FB095B956EA8</vt:lpwstr>
  </property>
</Properties>
</file>